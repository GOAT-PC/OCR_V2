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wavefor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<sst xmlns="http://schemas.openxmlformats.org/spreadsheetml/2006/main" count="1009" uniqueCount="20">
  <si>
    <t>m/s</t>
  </si>
  <si>
    <t>us</t>
  </si>
  <si>
    <t>avg</t>
  </si>
  <si>
    <t>MAX</t>
  </si>
  <si>
    <t>MIN</t>
  </si>
  <si>
    <t>MAX-MIN</t>
  </si>
  <si>
    <t>STD</t>
  </si>
  <si>
    <t>18 ns</t>
  </si>
  <si>
    <t>d</t>
  </si>
  <si>
    <t>mm</t>
  </si>
  <si>
    <t>TimeStamp(ms)</t>
  </si>
  <si>
    <t xml:space="preserve"> Command ID</t>
  </si>
  <si>
    <t xml:space="preserve"> Data</t>
  </si>
  <si>
    <t xml:space="preserve"> Absolute TOF UPS</t>
  </si>
  <si>
    <t>v</t>
  </si>
  <si>
    <t xml:space="preserve"> Absolute TOF DNS</t>
  </si>
  <si>
    <t xml:space="preserve"> Delta TOF</t>
  </si>
  <si>
    <t xml:space="preserve"> Volume Flow Rate</t>
  </si>
  <si>
    <t xml:space="preserve"> Debug</t>
  </si>
  <si>
    <t xml:space="preserve"> Adv. Debug (4)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</si>
</sst>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  <numFmt numFmtId="178" formatCode="0.0000000000000_);[Red]\(0.0000000000000\)"/>
    <numFmt numFmtId="179" formatCode="0.0_);[Red]\(0.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"raw data"</c:f>
              <c:strCache>
                <c:ptCount val="1"/>
                <c:pt idx="0">
                  <c:v>raw 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waveforms!$E$19:$E$179</c:f>
              <c:numCache>
                <c:formatCode>General</c:formatCode>
                <c:ptCount val="16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105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110</c:v>
                </c:pt>
                <c:pt idx="106">
                  <c:v>111</c:v>
                </c:pt>
                <c:pt idx="107">
                  <c:v>112</c:v>
                </c:pt>
                <c:pt idx="108">
                  <c:v>113</c:v>
                </c:pt>
                <c:pt idx="109">
                  <c:v>114</c:v>
                </c:pt>
                <c:pt idx="110">
                  <c:v>115</c:v>
                </c:pt>
                <c:pt idx="111">
                  <c:v>116</c:v>
                </c:pt>
                <c:pt idx="112">
                  <c:v>117</c:v>
                </c:pt>
                <c:pt idx="113">
                  <c:v>118</c:v>
                </c:pt>
                <c:pt idx="114">
                  <c:v>119</c:v>
                </c:pt>
                <c:pt idx="115">
                  <c:v>120</c:v>
                </c:pt>
                <c:pt idx="116">
                  <c:v>121</c:v>
                </c:pt>
                <c:pt idx="117">
                  <c:v>122</c:v>
                </c:pt>
                <c:pt idx="118">
                  <c:v>123</c:v>
                </c:pt>
                <c:pt idx="119">
                  <c:v>124</c:v>
                </c:pt>
                <c:pt idx="120">
                  <c:v>125</c:v>
                </c:pt>
                <c:pt idx="121">
                  <c:v>126</c:v>
                </c:pt>
                <c:pt idx="122">
                  <c:v>127</c:v>
                </c:pt>
                <c:pt idx="123">
                  <c:v>128</c:v>
                </c:pt>
                <c:pt idx="124">
                  <c:v>129</c:v>
                </c:pt>
                <c:pt idx="125">
                  <c:v>130</c:v>
                </c:pt>
                <c:pt idx="126">
                  <c:v>131</c:v>
                </c:pt>
                <c:pt idx="127">
                  <c:v>132</c:v>
                </c:pt>
                <c:pt idx="128">
                  <c:v>133</c:v>
                </c:pt>
                <c:pt idx="129">
                  <c:v>134</c:v>
                </c:pt>
                <c:pt idx="130">
                  <c:v>135</c:v>
                </c:pt>
                <c:pt idx="131">
                  <c:v>136</c:v>
                </c:pt>
                <c:pt idx="132">
                  <c:v>137</c:v>
                </c:pt>
                <c:pt idx="133">
                  <c:v>138</c:v>
                </c:pt>
                <c:pt idx="134">
                  <c:v>139</c:v>
                </c:pt>
                <c:pt idx="135">
                  <c:v>140</c:v>
                </c:pt>
                <c:pt idx="136">
                  <c:v>141</c:v>
                </c:pt>
                <c:pt idx="137">
                  <c:v>142</c:v>
                </c:pt>
                <c:pt idx="138">
                  <c:v>143</c:v>
                </c:pt>
                <c:pt idx="139">
                  <c:v>144</c:v>
                </c:pt>
                <c:pt idx="140">
                  <c:v>145</c:v>
                </c:pt>
                <c:pt idx="141">
                  <c:v>146</c:v>
                </c:pt>
                <c:pt idx="142">
                  <c:v>147</c:v>
                </c:pt>
                <c:pt idx="143">
                  <c:v>148</c:v>
                </c:pt>
                <c:pt idx="144">
                  <c:v>149</c:v>
                </c:pt>
                <c:pt idx="145">
                  <c:v>150</c:v>
                </c:pt>
                <c:pt idx="146">
                  <c:v>151</c:v>
                </c:pt>
                <c:pt idx="147">
                  <c:v>152</c:v>
                </c:pt>
                <c:pt idx="148">
                  <c:v>153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</c:numCache>
            </c:numRef>
          </c:xVal>
          <c:yVal>
            <c:numRef>
              <c:f>waveforms!$H$19:$H$179</c:f>
              <c:numCache>
                <c:formatCode>0.0_);[Red]\(0.0\)</c:formatCode>
                <c:ptCount val="161"/>
                <c:pt idx="0">
                  <c:v>1500.64078066048</c:v>
                </c:pt>
                <c:pt idx="1">
                  <c:v>1500.56473577237</c:v>
                </c:pt>
                <c:pt idx="2">
                  <c:v>1500.34688382227</c:v>
                </c:pt>
                <c:pt idx="3">
                  <c:v>1500.67116719691</c:v>
                </c:pt>
                <c:pt idx="4">
                  <c:v>1500.3881667758</c:v>
                </c:pt>
                <c:pt idx="5">
                  <c:v>1500.60838090267</c:v>
                </c:pt>
                <c:pt idx="6">
                  <c:v>1500.49608376299</c:v>
                </c:pt>
                <c:pt idx="7">
                  <c:v>1500.46234754703</c:v>
                </c:pt>
                <c:pt idx="8">
                  <c:v>1500.49608376299</c:v>
                </c:pt>
                <c:pt idx="9">
                  <c:v>1500.67116719691</c:v>
                </c:pt>
                <c:pt idx="10">
                  <c:v>1500.49608376299</c:v>
                </c:pt>
                <c:pt idx="11">
                  <c:v>1500.13899323332</c:v>
                </c:pt>
                <c:pt idx="12">
                  <c:v>1500.19385464484</c:v>
                </c:pt>
                <c:pt idx="13">
                  <c:v>1500.45815160634</c:v>
                </c:pt>
                <c:pt idx="14">
                  <c:v>1500.65286797509</c:v>
                </c:pt>
                <c:pt idx="15">
                  <c:v>1500.78130771942</c:v>
                </c:pt>
                <c:pt idx="16">
                  <c:v>1500.3881667758</c:v>
                </c:pt>
                <c:pt idx="17">
                  <c:v>1500.57430391057</c:v>
                </c:pt>
                <c:pt idx="18">
                  <c:v>1500.34688382227</c:v>
                </c:pt>
                <c:pt idx="19">
                  <c:v>1500.25610287909</c:v>
                </c:pt>
                <c:pt idx="20">
                  <c:v>1500.28462805463</c:v>
                </c:pt>
                <c:pt idx="21">
                  <c:v>1500.03615986878</c:v>
                </c:pt>
                <c:pt idx="22">
                  <c:v>1500.3881667758</c:v>
                </c:pt>
                <c:pt idx="23">
                  <c:v>1500.80632664614</c:v>
                </c:pt>
                <c:pt idx="24">
                  <c:v>1500.45815160634</c:v>
                </c:pt>
                <c:pt idx="25">
                  <c:v>1500.53200359071</c:v>
                </c:pt>
                <c:pt idx="26">
                  <c:v>1500.67116719691</c:v>
                </c:pt>
                <c:pt idx="27">
                  <c:v>1500.60838090267</c:v>
                </c:pt>
                <c:pt idx="28">
                  <c:v>1500.45815160634</c:v>
                </c:pt>
                <c:pt idx="29">
                  <c:v>1500.7546105901</c:v>
                </c:pt>
                <c:pt idx="30">
                  <c:v>1500.49608376299</c:v>
                </c:pt>
                <c:pt idx="31">
                  <c:v>1500.30325390168</c:v>
                </c:pt>
                <c:pt idx="32">
                  <c:v>1500.34688382227</c:v>
                </c:pt>
                <c:pt idx="33">
                  <c:v>1500.3881667758</c:v>
                </c:pt>
                <c:pt idx="34">
                  <c:v>1500.3881667758</c:v>
                </c:pt>
                <c:pt idx="35">
                  <c:v>1500.2410017547</c:v>
                </c:pt>
                <c:pt idx="36">
                  <c:v>1500.49608376299</c:v>
                </c:pt>
                <c:pt idx="37">
                  <c:v>1500.60838090267</c:v>
                </c:pt>
                <c:pt idx="38">
                  <c:v>1500.57430391057</c:v>
                </c:pt>
                <c:pt idx="39">
                  <c:v>1500.19385464484</c:v>
                </c:pt>
                <c:pt idx="40">
                  <c:v>1500.49608376299</c:v>
                </c:pt>
                <c:pt idx="41">
                  <c:v>1500.56473577237</c:v>
                </c:pt>
                <c:pt idx="42">
                  <c:v>1500.30325390168</c:v>
                </c:pt>
                <c:pt idx="43">
                  <c:v>1500.42676671426</c:v>
                </c:pt>
                <c:pt idx="44">
                  <c:v>1500.19385464484</c:v>
                </c:pt>
                <c:pt idx="45">
                  <c:v>1500.28462805463</c:v>
                </c:pt>
                <c:pt idx="46">
                  <c:v>1500.89549483995</c:v>
                </c:pt>
                <c:pt idx="47">
                  <c:v>1500.53200359071</c:v>
                </c:pt>
                <c:pt idx="48">
                  <c:v>1500.46234754703</c:v>
                </c:pt>
                <c:pt idx="49">
                  <c:v>1500.62533604183</c:v>
                </c:pt>
                <c:pt idx="50">
                  <c:v>1500.56473577237</c:v>
                </c:pt>
                <c:pt idx="51">
                  <c:v>1500.67116719691</c:v>
                </c:pt>
                <c:pt idx="52">
                  <c:v>1500.64078066048</c:v>
                </c:pt>
                <c:pt idx="53">
                  <c:v>1500.53200359071</c:v>
                </c:pt>
                <c:pt idx="54">
                  <c:v>1500.46234754703</c:v>
                </c:pt>
                <c:pt idx="55">
                  <c:v>1500.56473577237</c:v>
                </c:pt>
                <c:pt idx="56">
                  <c:v>1500.2410017547</c:v>
                </c:pt>
                <c:pt idx="57">
                  <c:v>1500.56473577237</c:v>
                </c:pt>
                <c:pt idx="58">
                  <c:v>1500.45815160634</c:v>
                </c:pt>
                <c:pt idx="59">
                  <c:v>1500.64078066048</c:v>
                </c:pt>
                <c:pt idx="60">
                  <c:v>1500.28462805463</c:v>
                </c:pt>
                <c:pt idx="61">
                  <c:v>1500.42676671426</c:v>
                </c:pt>
                <c:pt idx="62">
                  <c:v>1500.7546105901</c:v>
                </c:pt>
                <c:pt idx="63">
                  <c:v>1500.7546105901</c:v>
                </c:pt>
                <c:pt idx="64">
                  <c:v>1500.42676671426</c:v>
                </c:pt>
                <c:pt idx="65">
                  <c:v>1500.64078066048</c:v>
                </c:pt>
                <c:pt idx="66">
                  <c:v>1500.45815160634</c:v>
                </c:pt>
                <c:pt idx="67">
                  <c:v>1500.42676671426</c:v>
                </c:pt>
                <c:pt idx="68">
                  <c:v>1500.60838090267</c:v>
                </c:pt>
                <c:pt idx="69">
                  <c:v>1500.2410017547</c:v>
                </c:pt>
                <c:pt idx="70">
                  <c:v>1500.57430391057</c:v>
                </c:pt>
                <c:pt idx="71">
                  <c:v>1500.45815160634</c:v>
                </c:pt>
                <c:pt idx="72">
                  <c:v>1500.72539595211</c:v>
                </c:pt>
                <c:pt idx="73">
                  <c:v>1500.28462805463</c:v>
                </c:pt>
                <c:pt idx="74">
                  <c:v>1500.53200359071</c:v>
                </c:pt>
                <c:pt idx="75">
                  <c:v>1500.59612643665</c:v>
                </c:pt>
                <c:pt idx="76">
                  <c:v>1500.49608376299</c:v>
                </c:pt>
                <c:pt idx="77">
                  <c:v>1500.32506854478</c:v>
                </c:pt>
                <c:pt idx="78">
                  <c:v>1500.2410017547</c:v>
                </c:pt>
                <c:pt idx="79">
                  <c:v>1500.53200359071</c:v>
                </c:pt>
                <c:pt idx="80">
                  <c:v>1500.45815160634</c:v>
                </c:pt>
                <c:pt idx="81">
                  <c:v>1500.28462805463</c:v>
                </c:pt>
                <c:pt idx="82">
                  <c:v>1500.49608376299</c:v>
                </c:pt>
                <c:pt idx="83">
                  <c:v>1500.80632664614</c:v>
                </c:pt>
                <c:pt idx="84">
                  <c:v>1500.60838090267</c:v>
                </c:pt>
                <c:pt idx="85">
                  <c:v>1500.30325390168</c:v>
                </c:pt>
                <c:pt idx="86">
                  <c:v>1500.2410017547</c:v>
                </c:pt>
                <c:pt idx="87">
                  <c:v>1500.49608376299</c:v>
                </c:pt>
                <c:pt idx="88">
                  <c:v>1500.2410017547</c:v>
                </c:pt>
                <c:pt idx="89">
                  <c:v>1500.42676671426</c:v>
                </c:pt>
                <c:pt idx="90">
                  <c:v>1500.59612643665</c:v>
                </c:pt>
                <c:pt idx="91">
                  <c:v>1500.53200359071</c:v>
                </c:pt>
                <c:pt idx="92">
                  <c:v>1500.2410017547</c:v>
                </c:pt>
                <c:pt idx="93">
                  <c:v>1500.30325390168</c:v>
                </c:pt>
                <c:pt idx="94">
                  <c:v>1500.53200359071</c:v>
                </c:pt>
                <c:pt idx="95">
                  <c:v>1500.34688382227</c:v>
                </c:pt>
                <c:pt idx="96">
                  <c:v>1500.34688382227</c:v>
                </c:pt>
                <c:pt idx="97">
                  <c:v>1500.3881667758</c:v>
                </c:pt>
                <c:pt idx="98">
                  <c:v>1500.37255953848</c:v>
                </c:pt>
                <c:pt idx="99">
                  <c:v>1500.64078066048</c:v>
                </c:pt>
                <c:pt idx="100">
                  <c:v>1500.25610287909</c:v>
                </c:pt>
                <c:pt idx="101">
                  <c:v>1500.41770394161</c:v>
                </c:pt>
                <c:pt idx="102">
                  <c:v>1500.67116719691</c:v>
                </c:pt>
                <c:pt idx="103">
                  <c:v>1500.69937237614</c:v>
                </c:pt>
                <c:pt idx="104">
                  <c:v>1500.64078066048</c:v>
                </c:pt>
                <c:pt idx="105">
                  <c:v>1500.60838090267</c:v>
                </c:pt>
                <c:pt idx="106">
                  <c:v>1500.53200359071</c:v>
                </c:pt>
                <c:pt idx="107">
                  <c:v>1500.49608376299</c:v>
                </c:pt>
                <c:pt idx="108">
                  <c:v>1500.59612643665</c:v>
                </c:pt>
                <c:pt idx="109">
                  <c:v>1500.56473577237</c:v>
                </c:pt>
                <c:pt idx="110">
                  <c:v>1500.64078066048</c:v>
                </c:pt>
                <c:pt idx="111">
                  <c:v>1500.56473577237</c:v>
                </c:pt>
                <c:pt idx="112">
                  <c:v>1500.34688382227</c:v>
                </c:pt>
                <c:pt idx="113">
                  <c:v>1500.49608376299</c:v>
                </c:pt>
                <c:pt idx="114">
                  <c:v>1500.67116719691</c:v>
                </c:pt>
                <c:pt idx="115">
                  <c:v>1500.56473577237</c:v>
                </c:pt>
                <c:pt idx="116">
                  <c:v>1500.42676671426</c:v>
                </c:pt>
                <c:pt idx="117">
                  <c:v>1500.42676671426</c:v>
                </c:pt>
                <c:pt idx="118">
                  <c:v>1500.67116719691</c:v>
                </c:pt>
                <c:pt idx="119">
                  <c:v>1500.72539595211</c:v>
                </c:pt>
                <c:pt idx="120">
                  <c:v>1500.53200359071</c:v>
                </c:pt>
                <c:pt idx="121">
                  <c:v>1500.60838090267</c:v>
                </c:pt>
                <c:pt idx="122">
                  <c:v>1500.69937237614</c:v>
                </c:pt>
                <c:pt idx="123">
                  <c:v>1500.3881667758</c:v>
                </c:pt>
                <c:pt idx="124">
                  <c:v>1500.49608376299</c:v>
                </c:pt>
                <c:pt idx="125">
                  <c:v>1500.64078066048</c:v>
                </c:pt>
                <c:pt idx="126">
                  <c:v>1500.59612643665</c:v>
                </c:pt>
                <c:pt idx="127">
                  <c:v>1500.3881667758</c:v>
                </c:pt>
                <c:pt idx="128">
                  <c:v>1500.53200359071</c:v>
                </c:pt>
                <c:pt idx="129">
                  <c:v>1500.60838090267</c:v>
                </c:pt>
                <c:pt idx="130">
                  <c:v>1500.67116719691</c:v>
                </c:pt>
                <c:pt idx="131">
                  <c:v>1500.41770394161</c:v>
                </c:pt>
                <c:pt idx="132">
                  <c:v>1500.67116719691</c:v>
                </c:pt>
                <c:pt idx="133">
                  <c:v>1500.69937237614</c:v>
                </c:pt>
                <c:pt idx="134">
                  <c:v>1500.57430391057</c:v>
                </c:pt>
                <c:pt idx="135">
                  <c:v>1500.7546105901</c:v>
                </c:pt>
                <c:pt idx="136">
                  <c:v>1500.3881667758</c:v>
                </c:pt>
                <c:pt idx="137">
                  <c:v>1500.34688382227</c:v>
                </c:pt>
                <c:pt idx="138">
                  <c:v>1500.56473577237</c:v>
                </c:pt>
                <c:pt idx="139">
                  <c:v>1500.72539595211</c:v>
                </c:pt>
                <c:pt idx="140">
                  <c:v>1500.72539595211</c:v>
                </c:pt>
                <c:pt idx="141">
                  <c:v>1500.69937237614</c:v>
                </c:pt>
                <c:pt idx="142">
                  <c:v>1500.2410017547</c:v>
                </c:pt>
                <c:pt idx="143">
                  <c:v>1500.60838090267</c:v>
                </c:pt>
                <c:pt idx="144">
                  <c:v>1500.2410017547</c:v>
                </c:pt>
                <c:pt idx="145">
                  <c:v>1500.42676671426</c:v>
                </c:pt>
                <c:pt idx="146">
                  <c:v>1500.3881667758</c:v>
                </c:pt>
                <c:pt idx="147">
                  <c:v>1500.49608376299</c:v>
                </c:pt>
                <c:pt idx="148">
                  <c:v>1500.45815160634</c:v>
                </c:pt>
                <c:pt idx="149">
                  <c:v>1500.67116719691</c:v>
                </c:pt>
                <c:pt idx="150">
                  <c:v>1500.41770394161</c:v>
                </c:pt>
                <c:pt idx="151">
                  <c:v>1500.56473577237</c:v>
                </c:pt>
                <c:pt idx="152">
                  <c:v>1500.45815160634</c:v>
                </c:pt>
                <c:pt idx="153">
                  <c:v>1500.45815160634</c:v>
                </c:pt>
                <c:pt idx="154">
                  <c:v>1500.53200359071</c:v>
                </c:pt>
                <c:pt idx="155">
                  <c:v>1500.53200359071</c:v>
                </c:pt>
                <c:pt idx="156">
                  <c:v>1500.56473577237</c:v>
                </c:pt>
                <c:pt idx="157">
                  <c:v>1500.7546105901</c:v>
                </c:pt>
                <c:pt idx="158">
                  <c:v>1500.62533604183</c:v>
                </c:pt>
                <c:pt idx="159">
                  <c:v>1500.32506854478</c:v>
                </c:pt>
                <c:pt idx="160">
                  <c:v>1500.34688382227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"moving average(10)"</c:f>
              <c:strCache>
                <c:ptCount val="1"/>
                <c:pt idx="0">
                  <c:v>moving average(10)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waveforms!$E$19:$E$179</c:f>
              <c:numCache>
                <c:formatCode>General</c:formatCode>
                <c:ptCount val="16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105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110</c:v>
                </c:pt>
                <c:pt idx="106">
                  <c:v>111</c:v>
                </c:pt>
                <c:pt idx="107">
                  <c:v>112</c:v>
                </c:pt>
                <c:pt idx="108">
                  <c:v>113</c:v>
                </c:pt>
                <c:pt idx="109">
                  <c:v>114</c:v>
                </c:pt>
                <c:pt idx="110">
                  <c:v>115</c:v>
                </c:pt>
                <c:pt idx="111">
                  <c:v>116</c:v>
                </c:pt>
                <c:pt idx="112">
                  <c:v>117</c:v>
                </c:pt>
                <c:pt idx="113">
                  <c:v>118</c:v>
                </c:pt>
                <c:pt idx="114">
                  <c:v>119</c:v>
                </c:pt>
                <c:pt idx="115">
                  <c:v>120</c:v>
                </c:pt>
                <c:pt idx="116">
                  <c:v>121</c:v>
                </c:pt>
                <c:pt idx="117">
                  <c:v>122</c:v>
                </c:pt>
                <c:pt idx="118">
                  <c:v>123</c:v>
                </c:pt>
                <c:pt idx="119">
                  <c:v>124</c:v>
                </c:pt>
                <c:pt idx="120">
                  <c:v>125</c:v>
                </c:pt>
                <c:pt idx="121">
                  <c:v>126</c:v>
                </c:pt>
                <c:pt idx="122">
                  <c:v>127</c:v>
                </c:pt>
                <c:pt idx="123">
                  <c:v>128</c:v>
                </c:pt>
                <c:pt idx="124">
                  <c:v>129</c:v>
                </c:pt>
                <c:pt idx="125">
                  <c:v>130</c:v>
                </c:pt>
                <c:pt idx="126">
                  <c:v>131</c:v>
                </c:pt>
                <c:pt idx="127">
                  <c:v>132</c:v>
                </c:pt>
                <c:pt idx="128">
                  <c:v>133</c:v>
                </c:pt>
                <c:pt idx="129">
                  <c:v>134</c:v>
                </c:pt>
                <c:pt idx="130">
                  <c:v>135</c:v>
                </c:pt>
                <c:pt idx="131">
                  <c:v>136</c:v>
                </c:pt>
                <c:pt idx="132">
                  <c:v>137</c:v>
                </c:pt>
                <c:pt idx="133">
                  <c:v>138</c:v>
                </c:pt>
                <c:pt idx="134">
                  <c:v>139</c:v>
                </c:pt>
                <c:pt idx="135">
                  <c:v>140</c:v>
                </c:pt>
                <c:pt idx="136">
                  <c:v>141</c:v>
                </c:pt>
                <c:pt idx="137">
                  <c:v>142</c:v>
                </c:pt>
                <c:pt idx="138">
                  <c:v>143</c:v>
                </c:pt>
                <c:pt idx="139">
                  <c:v>144</c:v>
                </c:pt>
                <c:pt idx="140">
                  <c:v>145</c:v>
                </c:pt>
                <c:pt idx="141">
                  <c:v>146</c:v>
                </c:pt>
                <c:pt idx="142">
                  <c:v>147</c:v>
                </c:pt>
                <c:pt idx="143">
                  <c:v>148</c:v>
                </c:pt>
                <c:pt idx="144">
                  <c:v>149</c:v>
                </c:pt>
                <c:pt idx="145">
                  <c:v>150</c:v>
                </c:pt>
                <c:pt idx="146">
                  <c:v>151</c:v>
                </c:pt>
                <c:pt idx="147">
                  <c:v>152</c:v>
                </c:pt>
                <c:pt idx="148">
                  <c:v>153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</c:numCache>
            </c:numRef>
          </c:xVal>
          <c:yVal>
            <c:numRef>
              <c:f>waveforms!$I$19:$I$179</c:f>
              <c:numCache>
                <c:formatCode>0.0_);[Red]\(0.0\)</c:formatCode>
                <c:ptCount val="161"/>
                <c:pt idx="5">
                  <c:v>1500.53668585508</c:v>
                </c:pt>
                <c:pt idx="6">
                  <c:v>1500.53088555621</c:v>
                </c:pt>
                <c:pt idx="7">
                  <c:v>1500.52231830507</c:v>
                </c:pt>
                <c:pt idx="8">
                  <c:v>1500.51940335595</c:v>
                </c:pt>
                <c:pt idx="9">
                  <c:v>1500.53457974004</c:v>
                </c:pt>
                <c:pt idx="10">
                  <c:v>1500.52011005029</c:v>
                </c:pt>
                <c:pt idx="11">
                  <c:v>1500.47753579639</c:v>
                </c:pt>
                <c:pt idx="12">
                  <c:v>1500.46223287865</c:v>
                </c:pt>
                <c:pt idx="13">
                  <c:v>1500.44093131959</c:v>
                </c:pt>
                <c:pt idx="14">
                  <c:v>1500.46740143952</c:v>
                </c:pt>
                <c:pt idx="15">
                  <c:v>1500.48469412119</c:v>
                </c:pt>
                <c:pt idx="16">
                  <c:v>1500.47390242248</c:v>
                </c:pt>
                <c:pt idx="17">
                  <c:v>1500.48509805883</c:v>
                </c:pt>
                <c:pt idx="18">
                  <c:v>1500.47017806476</c:v>
                </c:pt>
                <c:pt idx="19">
                  <c:v>1500.42867163297</c:v>
                </c:pt>
                <c:pt idx="20">
                  <c:v>1500.40752606214</c:v>
                </c:pt>
                <c:pt idx="21">
                  <c:v>1500.39724272568</c:v>
                </c:pt>
                <c:pt idx="22">
                  <c:v>1500.41667393878</c:v>
                </c:pt>
                <c:pt idx="23">
                  <c:v>1500.45149144276</c:v>
                </c:pt>
                <c:pt idx="24">
                  <c:v>1500.43201980588</c:v>
                </c:pt>
                <c:pt idx="25">
                  <c:v>1500.40708939301</c:v>
                </c:pt>
                <c:pt idx="26">
                  <c:v>1500.43538943513</c:v>
                </c:pt>
                <c:pt idx="27">
                  <c:v>1500.43879713434</c:v>
                </c:pt>
                <c:pt idx="28">
                  <c:v>1500.44992391274</c:v>
                </c:pt>
                <c:pt idx="29">
                  <c:v>1500.49977468384</c:v>
                </c:pt>
                <c:pt idx="30">
                  <c:v>1500.52092025468</c:v>
                </c:pt>
                <c:pt idx="31">
                  <c:v>1500.54762965797</c:v>
                </c:pt>
                <c:pt idx="32">
                  <c:v>1500.54350136262</c:v>
                </c:pt>
                <c:pt idx="33">
                  <c:v>1500.50168537558</c:v>
                </c:pt>
                <c:pt idx="34">
                  <c:v>1500.49468689253</c:v>
                </c:pt>
                <c:pt idx="35">
                  <c:v>1500.46558670893</c:v>
                </c:pt>
                <c:pt idx="36">
                  <c:v>1500.44807836554</c:v>
                </c:pt>
                <c:pt idx="37">
                  <c:v>1500.44807836554</c:v>
                </c:pt>
                <c:pt idx="38">
                  <c:v>1500.45969359596</c:v>
                </c:pt>
                <c:pt idx="39">
                  <c:v>1500.40361800143</c:v>
                </c:pt>
                <c:pt idx="40">
                  <c:v>1500.40361800143</c:v>
                </c:pt>
                <c:pt idx="41">
                  <c:v>1500.4297661885</c:v>
                </c:pt>
                <c:pt idx="42">
                  <c:v>1500.42540319644</c:v>
                </c:pt>
                <c:pt idx="43">
                  <c:v>1500.42926319029</c:v>
                </c:pt>
                <c:pt idx="44">
                  <c:v>1500.40983197719</c:v>
                </c:pt>
                <c:pt idx="45">
                  <c:v>1500.41419460719</c:v>
                </c:pt>
                <c:pt idx="46">
                  <c:v>1500.45413571488</c:v>
                </c:pt>
                <c:pt idx="47">
                  <c:v>1500.44649798369</c:v>
                </c:pt>
                <c:pt idx="48">
                  <c:v>1500.43530234733</c:v>
                </c:pt>
                <c:pt idx="49">
                  <c:v>1500.47845048703</c:v>
                </c:pt>
                <c:pt idx="50">
                  <c:v>1500.48531568797</c:v>
                </c:pt>
                <c:pt idx="51">
                  <c:v>1500.49595883042</c:v>
                </c:pt>
                <c:pt idx="52">
                  <c:v>1500.5297115063</c:v>
                </c:pt>
                <c:pt idx="53">
                  <c:v>1500.54023519395</c:v>
                </c:pt>
                <c:pt idx="54">
                  <c:v>1500.56708448417</c:v>
                </c:pt>
                <c:pt idx="55">
                  <c:v>1500.59509525594</c:v>
                </c:pt>
                <c:pt idx="56">
                  <c:v>1500.52964594741</c:v>
                </c:pt>
                <c:pt idx="57">
                  <c:v>1500.53291916558</c:v>
                </c:pt>
                <c:pt idx="58">
                  <c:v>1500.53249957151</c:v>
                </c:pt>
                <c:pt idx="59">
                  <c:v>1500.53404403338</c:v>
                </c:pt>
                <c:pt idx="60">
                  <c:v>1500.5060332616</c:v>
                </c:pt>
                <c:pt idx="61">
                  <c:v>1500.48159321334</c:v>
                </c:pt>
                <c:pt idx="62">
                  <c:v>1500.4929762063</c:v>
                </c:pt>
                <c:pt idx="63">
                  <c:v>1500.51523690624</c:v>
                </c:pt>
                <c:pt idx="64">
                  <c:v>1500.51167882296</c:v>
                </c:pt>
                <c:pt idx="65">
                  <c:v>1500.51928331177</c:v>
                </c:pt>
                <c:pt idx="66">
                  <c:v>1500.54099829694</c:v>
                </c:pt>
                <c:pt idx="67">
                  <c:v>1500.52720139113</c:v>
                </c:pt>
                <c:pt idx="68">
                  <c:v>1500.54222432076</c:v>
                </c:pt>
                <c:pt idx="69">
                  <c:v>1500.50224643018</c:v>
                </c:pt>
                <c:pt idx="70">
                  <c:v>1500.53121401578</c:v>
                </c:pt>
                <c:pt idx="71">
                  <c:v>1500.53435250498</c:v>
                </c:pt>
                <c:pt idx="72">
                  <c:v>1500.53143104118</c:v>
                </c:pt>
                <c:pt idx="73">
                  <c:v>1500.48443278764</c:v>
                </c:pt>
                <c:pt idx="74">
                  <c:v>1500.49495647528</c:v>
                </c:pt>
                <c:pt idx="75">
                  <c:v>1500.4904910529</c:v>
                </c:pt>
                <c:pt idx="76">
                  <c:v>1500.49428426856</c:v>
                </c:pt>
                <c:pt idx="77">
                  <c:v>1500.48411445162</c:v>
                </c:pt>
                <c:pt idx="78">
                  <c:v>1500.44737653682</c:v>
                </c:pt>
                <c:pt idx="79">
                  <c:v>1500.47647672042</c:v>
                </c:pt>
                <c:pt idx="80">
                  <c:v>1500.46486149</c:v>
                </c:pt>
                <c:pt idx="81">
                  <c:v>1500.44750913483</c:v>
                </c:pt>
                <c:pt idx="82">
                  <c:v>1500.42457791591</c:v>
                </c:pt>
                <c:pt idx="83">
                  <c:v>1500.47674777507</c:v>
                </c:pt>
                <c:pt idx="84">
                  <c:v>1500.48438550626</c:v>
                </c:pt>
                <c:pt idx="85">
                  <c:v>1500.45509825276</c:v>
                </c:pt>
                <c:pt idx="86">
                  <c:v>1500.42959005193</c:v>
                </c:pt>
                <c:pt idx="87">
                  <c:v>1500.44669157376</c:v>
                </c:pt>
                <c:pt idx="88">
                  <c:v>1500.44669157376</c:v>
                </c:pt>
                <c:pt idx="89">
                  <c:v>1500.43616788611</c:v>
                </c:pt>
                <c:pt idx="90">
                  <c:v>1500.44996536914</c:v>
                </c:pt>
                <c:pt idx="91">
                  <c:v>1500.47470292275</c:v>
                </c:pt>
                <c:pt idx="92">
                  <c:v>1500.44919472192</c:v>
                </c:pt>
                <c:pt idx="93">
                  <c:v>1500.39888744747</c:v>
                </c:pt>
                <c:pt idx="94">
                  <c:v>1500.39124971628</c:v>
                </c:pt>
                <c:pt idx="95">
                  <c:v>1500.39561270834</c:v>
                </c:pt>
                <c:pt idx="96">
                  <c:v>1500.4062009151</c:v>
                </c:pt>
                <c:pt idx="97">
                  <c:v>1500.39540921638</c:v>
                </c:pt>
                <c:pt idx="98">
                  <c:v>1500.40856499475</c:v>
                </c:pt>
                <c:pt idx="99">
                  <c:v>1500.42996638938</c:v>
                </c:pt>
                <c:pt idx="100">
                  <c:v>1500.39596403362</c:v>
                </c:pt>
                <c:pt idx="101">
                  <c:v>1500.38453406871</c:v>
                </c:pt>
                <c:pt idx="102">
                  <c:v>1500.42755061293</c:v>
                </c:pt>
                <c:pt idx="103">
                  <c:v>1500.46716246038</c:v>
                </c:pt>
                <c:pt idx="104">
                  <c:v>1500.47804016735</c:v>
                </c:pt>
                <c:pt idx="105">
                  <c:v>1500.50418987539</c:v>
                </c:pt>
                <c:pt idx="106">
                  <c:v>1500.52270185224</c:v>
                </c:pt>
                <c:pt idx="107">
                  <c:v>1500.53349355096</c:v>
                </c:pt>
                <c:pt idx="108">
                  <c:v>1500.55585024077</c:v>
                </c:pt>
                <c:pt idx="109">
                  <c:v>1500.54824575196</c:v>
                </c:pt>
                <c:pt idx="110">
                  <c:v>1500.5867135301</c:v>
                </c:pt>
                <c:pt idx="111">
                  <c:v>1500.60141671318</c:v>
                </c:pt>
                <c:pt idx="112">
                  <c:v>1500.56898837572</c:v>
                </c:pt>
                <c:pt idx="113">
                  <c:v>1500.5486595144</c:v>
                </c:pt>
                <c:pt idx="114">
                  <c:v>1500.55169816804</c:v>
                </c:pt>
                <c:pt idx="115">
                  <c:v>1500.54733365501</c:v>
                </c:pt>
                <c:pt idx="116">
                  <c:v>1500.53680996737</c:v>
                </c:pt>
                <c:pt idx="117">
                  <c:v>1500.52987826249</c:v>
                </c:pt>
                <c:pt idx="118">
                  <c:v>1500.53738233852</c:v>
                </c:pt>
                <c:pt idx="119">
                  <c:v>1500.55344835649</c:v>
                </c:pt>
                <c:pt idx="120">
                  <c:v>1500.54257064952</c:v>
                </c:pt>
                <c:pt idx="121">
                  <c:v>1500.54693516255</c:v>
                </c:pt>
                <c:pt idx="122">
                  <c:v>1500.58218401794</c:v>
                </c:pt>
                <c:pt idx="123">
                  <c:v>1500.57139231922</c:v>
                </c:pt>
                <c:pt idx="124">
                  <c:v>1500.55388397582</c:v>
                </c:pt>
                <c:pt idx="125">
                  <c:v>1500.56148846464</c:v>
                </c:pt>
                <c:pt idx="126">
                  <c:v>1500.57842443687</c:v>
                </c:pt>
                <c:pt idx="127">
                  <c:v>1500.57456444303</c:v>
                </c:pt>
                <c:pt idx="128">
                  <c:v>1500.56064808241</c:v>
                </c:pt>
                <c:pt idx="129">
                  <c:v>1500.54894657746</c:v>
                </c:pt>
                <c:pt idx="130">
                  <c:v>1500.56286293808</c:v>
                </c:pt>
                <c:pt idx="131">
                  <c:v>1500.54379524198</c:v>
                </c:pt>
                <c:pt idx="132">
                  <c:v>1500.54097472406</c:v>
                </c:pt>
                <c:pt idx="133">
                  <c:v>1500.57209528409</c:v>
                </c:pt>
                <c:pt idx="134">
                  <c:v>1500.57991729885</c:v>
                </c:pt>
                <c:pt idx="135">
                  <c:v>1500.59130029181</c:v>
                </c:pt>
                <c:pt idx="136">
                  <c:v>1500.57050432572</c:v>
                </c:pt>
                <c:pt idx="137">
                  <c:v>1500.56637603037</c:v>
                </c:pt>
                <c:pt idx="138">
                  <c:v>1500.56964924854</c:v>
                </c:pt>
                <c:pt idx="139">
                  <c:v>1500.58135075348</c:v>
                </c:pt>
                <c:pt idx="140">
                  <c:v>1500.586773629</c:v>
                </c:pt>
                <c:pt idx="141">
                  <c:v>1500.61494047245</c:v>
                </c:pt>
                <c:pt idx="142">
                  <c:v>1500.57192392823</c:v>
                </c:pt>
                <c:pt idx="143">
                  <c:v>1500.56282478089</c:v>
                </c:pt>
                <c:pt idx="144">
                  <c:v>1500.5294945653</c:v>
                </c:pt>
                <c:pt idx="145">
                  <c:v>1500.49671017771</c:v>
                </c:pt>
                <c:pt idx="146">
                  <c:v>1500.49671017771</c:v>
                </c:pt>
                <c:pt idx="147">
                  <c:v>1500.51163017179</c:v>
                </c:pt>
                <c:pt idx="148">
                  <c:v>1500.50097175518</c:v>
                </c:pt>
                <c:pt idx="149">
                  <c:v>1500.49554887966</c:v>
                </c:pt>
                <c:pt idx="150">
                  <c:v>1500.46477967861</c:v>
                </c:pt>
                <c:pt idx="151">
                  <c:v>1500.45131601824</c:v>
                </c:pt>
                <c:pt idx="152">
                  <c:v>1500.4730310034</c:v>
                </c:pt>
                <c:pt idx="153">
                  <c:v>1500.45800807377</c:v>
                </c:pt>
                <c:pt idx="154">
                  <c:v>1500.48710825737</c:v>
                </c:pt>
                <c:pt idx="155">
                  <c:v>1500.49763194501</c:v>
                </c:pt>
                <c:pt idx="156">
                  <c:v>1500.51528884467</c:v>
                </c:pt>
                <c:pt idx="157">
                  <c:v>1500.54114152738</c:v>
                </c:pt>
                <c:pt idx="158">
                  <c:v>1500.55785997093</c:v>
                </c:pt>
                <c:pt idx="159">
                  <c:v>1500.52325010572</c:v>
                </c:pt>
                <c:pt idx="160">
                  <c:v>1500.51616809378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681718"/>
        <c:axId val="139041714"/>
      </c:scatterChart>
      <c:valAx>
        <c:axId val="67868171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041714"/>
        <c:crosses val="autoZero"/>
        <c:crossBetween val="midCat"/>
      </c:valAx>
      <c:valAx>
        <c:axId val="1390417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868171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137795</xdr:colOff>
      <xdr:row>0</xdr:row>
      <xdr:rowOff>114935</xdr:rowOff>
    </xdr:from>
    <xdr:to>
      <xdr:col>2</xdr:col>
      <xdr:colOff>1922780</xdr:colOff>
      <xdr:row>12</xdr:row>
      <xdr:rowOff>95250</xdr:rowOff>
    </xdr:to>
    <xdr:graphicFrame>
      <xdr:nvGraphicFramePr>
        <xdr:cNvPr id="4" name="图表 3"/>
        <xdr:cNvGraphicFramePr/>
      </xdr:nvGraphicFramePr>
      <xdr:xfrm>
        <a:off x="1271270" y="114935"/>
        <a:ext cx="3261360" cy="2037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1004"/>
  <sheetViews>
    <sheetView tabSelected="1" zoomScale="175" zoomScaleNormal="175" zoomScaleSheetLayoutView="60" topLeftCell="B1" workbookViewId="0">
      <selection activeCell="D15" sqref="D15"/>
    </sheetView>
  </sheetViews>
  <sheetFormatPr defaultColWidth="9" defaultRowHeight="13.5"/>
  <cols>
    <col min="1" max="1" width="14.875" customWidth="1"/>
    <col min="2" max="2" width="19.375" customWidth="1"/>
    <col min="3" max="3" width="26" customWidth="1"/>
    <col min="6" max="7" width="19.375" customWidth="1"/>
    <col min="8" max="9" width="10.375" customWidth="1"/>
    <col min="10" max="11" width="19.375" customWidth="1"/>
    <col min="12" max="13" width="10.375" customWidth="1"/>
  </cols>
  <sheetData>
    <row r="3" spans="8:13">
      <c r="H3" s="1" t="s">
        <v>0</v>
      </c>
      <c r="I3" s="1" t="s">
        <v>0</v>
      </c>
      <c r="L3" s="1" t="s">
        <v>0</v>
      </c>
      <c r="M3" s="1" t="s">
        <v>0</v>
      </c>
    </row>
    <row r="4" spans="4:13">
      <c r="D4" s="1" t="s">
        <v>1</v>
      </c>
      <c r="E4" t="s">
        <v>2</v>
      </c>
      <c r="F4" s="2">
        <f t="shared" ref="F4:K4" si="0">AVERAGE(F15:F179)*1000000</f>
        <v>16.2612737112343</v>
      </c>
      <c r="G4" s="2">
        <f t="shared" si="0"/>
        <v>16.2612779224505</v>
      </c>
      <c r="H4" s="2">
        <f>AVERAGE(H15:H179)</f>
        <v>1500.49748290757</v>
      </c>
      <c r="I4" s="2">
        <f>AVERAGE(I15:I179)</f>
        <v>1500.49709438769</v>
      </c>
      <c r="J4" s="4">
        <f t="shared" si="0"/>
        <v>16.2610234137731</v>
      </c>
      <c r="K4" s="2">
        <f t="shared" si="0"/>
        <v>16.261051693602</v>
      </c>
      <c r="L4" s="2" t="e">
        <f>AVERAGE(L15:L179)</f>
        <v>#DIV/0!</v>
      </c>
      <c r="M4" s="2" t="e">
        <f>AVERAGE(M15:M179)</f>
        <v>#DIV/0!</v>
      </c>
    </row>
    <row r="5" spans="4:13">
      <c r="D5" s="1"/>
      <c r="E5" t="s">
        <v>3</v>
      </c>
      <c r="F5" s="2">
        <f t="shared" ref="F5:K5" si="1">MAX(F15:F179)*1000000</f>
        <v>16.2662745424313</v>
      </c>
      <c r="G5" s="2">
        <f t="shared" si="1"/>
        <v>16.2624977747327</v>
      </c>
      <c r="H5" s="2">
        <f>MAX(H15:H179)</f>
        <v>1500.89549483995</v>
      </c>
      <c r="I5" s="2">
        <f>MAX(I15:I179)</f>
        <v>1500.61494047245</v>
      </c>
      <c r="J5" s="4">
        <f t="shared" si="1"/>
        <v>16.2651067512342</v>
      </c>
      <c r="K5" s="2">
        <f t="shared" si="1"/>
        <v>16.2622822244884</v>
      </c>
      <c r="L5" s="2" t="e">
        <f>MAX(L15:L179)</f>
        <v>#DIV/0!</v>
      </c>
      <c r="M5" s="2" t="e">
        <f>MAX(M15:M179)</f>
        <v>#DIV/0!</v>
      </c>
    </row>
    <row r="6" spans="4:13">
      <c r="D6" s="1"/>
      <c r="E6" t="s">
        <v>4</v>
      </c>
      <c r="F6" s="2">
        <f t="shared" ref="F6:K6" si="2">MIN(F15:F180)*1000000</f>
        <v>16.2569613166851</v>
      </c>
      <c r="G6" s="2">
        <f t="shared" si="2"/>
        <v>16.2600008479785</v>
      </c>
      <c r="H6" s="2">
        <f>MIN(H15:H180)</f>
        <v>1500.03615986878</v>
      </c>
      <c r="I6" s="2">
        <f>MIN(I15:I180)</f>
        <v>1500.38453406871</v>
      </c>
      <c r="J6" s="4">
        <f t="shared" si="2"/>
        <v>16.2562973855529</v>
      </c>
      <c r="K6" s="2">
        <f t="shared" si="2"/>
        <v>16.2601916599669</v>
      </c>
      <c r="L6" s="2" t="e">
        <f>MIN(L15:L180)</f>
        <v>#DIV/0!</v>
      </c>
      <c r="M6" s="2" t="e">
        <f>MIN(M15:M180)</f>
        <v>#DIV/0!</v>
      </c>
    </row>
    <row r="7" spans="4:13">
      <c r="D7" s="1"/>
      <c r="E7" t="s">
        <v>5</v>
      </c>
      <c r="F7" s="3">
        <f t="shared" ref="F7:K7" si="3">F5-F6</f>
        <v>0.00931322574620097</v>
      </c>
      <c r="G7" s="3">
        <f t="shared" si="3"/>
        <v>0.00249692675426161</v>
      </c>
      <c r="H7" s="3">
        <f t="shared" si="3"/>
        <v>0.859334971166163</v>
      </c>
      <c r="I7" s="3">
        <f t="shared" si="3"/>
        <v>0.230406403745292</v>
      </c>
      <c r="J7" s="4">
        <f t="shared" si="3"/>
        <v>0.00880936568129798</v>
      </c>
      <c r="K7" s="3">
        <f t="shared" si="3"/>
        <v>0.00209056452148104</v>
      </c>
      <c r="L7" s="3" t="e">
        <f>L5-L6</f>
        <v>#DIV/0!</v>
      </c>
      <c r="M7" s="3" t="e">
        <f>M5-M6</f>
        <v>#DIV/0!</v>
      </c>
    </row>
    <row r="8" spans="4:13">
      <c r="D8" s="1"/>
      <c r="E8" t="s">
        <v>6</v>
      </c>
      <c r="F8" s="2">
        <f t="shared" ref="F8:K8" si="4">STDEV(F15:F179)*1000000</f>
        <v>0.00172410035245956</v>
      </c>
      <c r="G8" s="4">
        <f t="shared" si="4"/>
        <v>0.000602666851765888</v>
      </c>
      <c r="H8" s="2">
        <f>STDEV(H15:H179)</f>
        <v>0.159086788647185</v>
      </c>
      <c r="I8" s="2">
        <f>STDEV(I15:I179)</f>
        <v>0.0556074421957666</v>
      </c>
      <c r="J8" s="4">
        <f t="shared" si="4"/>
        <v>0.00180621926752306</v>
      </c>
      <c r="K8" s="4">
        <f t="shared" si="4"/>
        <v>0.000425615245926979</v>
      </c>
      <c r="L8" s="2" t="e">
        <f>STDEV(L15:L179)</f>
        <v>#DIV/0!</v>
      </c>
      <c r="M8" s="2" t="e">
        <f>STDEV(M15:M179)</f>
        <v>#DIV/0!</v>
      </c>
    </row>
    <row r="10" spans="14:14">
      <c r="N10" t="s">
        <v>7</v>
      </c>
    </row>
    <row r="11" spans="5:8">
      <c r="E11" t="s">
        <v>8</v>
      </c>
      <c r="F11">
        <f>F4*1.5</f>
        <v>24.3919105668514</v>
      </c>
      <c r="H11" t="s">
        <v>9</v>
      </c>
    </row>
    <row r="14" spans="1:10">
      <c r="A14" t="s">
        <v>10</v>
      </c>
      <c r="B14" t="s">
        <v>11</v>
      </c>
      <c r="C14" t="s">
        <v>12</v>
      </c>
      <c r="F14" t="s">
        <v>13</v>
      </c>
      <c r="H14" t="s">
        <v>14</v>
      </c>
      <c r="J14" t="s">
        <v>15</v>
      </c>
    </row>
    <row r="15" spans="1:12">
      <c r="A15">
        <v>153989</v>
      </c>
      <c r="B15" t="s">
        <v>16</v>
      </c>
      <c r="C15" s="5">
        <v>2.6591351343e-10</v>
      </c>
      <c r="F15" s="6"/>
      <c r="G15" s="6"/>
      <c r="H15" s="7"/>
      <c r="I15" s="7"/>
      <c r="J15" s="6"/>
      <c r="K15" s="6"/>
      <c r="L15" s="7" t="e">
        <f t="shared" ref="L15:L78" si="5">24.4/J15/1000</f>
        <v>#DIV/0!</v>
      </c>
    </row>
    <row r="16" spans="1:12">
      <c r="A16">
        <v>153990</v>
      </c>
      <c r="B16" t="s">
        <v>13</v>
      </c>
      <c r="C16" s="5">
        <v>1.62745709531009e-5</v>
      </c>
      <c r="F16" s="6"/>
      <c r="G16" s="6"/>
      <c r="H16" s="7"/>
      <c r="I16" s="7"/>
      <c r="J16" s="6"/>
      <c r="K16" s="6"/>
      <c r="L16" s="7" t="e">
        <f t="shared" si="5"/>
        <v>#DIV/0!</v>
      </c>
    </row>
    <row r="17" spans="1:12">
      <c r="A17">
        <v>153991</v>
      </c>
      <c r="B17" t="s">
        <v>15</v>
      </c>
      <c r="C17" s="5">
        <v>1.62740434461738e-5</v>
      </c>
      <c r="F17" s="6"/>
      <c r="G17" s="6"/>
      <c r="H17" s="7"/>
      <c r="I17" s="7"/>
      <c r="J17" s="6"/>
      <c r="K17" s="6"/>
      <c r="L17" s="7" t="e">
        <f t="shared" si="5"/>
        <v>#DIV/0!</v>
      </c>
    </row>
    <row r="18" spans="1:12">
      <c r="A18">
        <v>153992</v>
      </c>
      <c r="B18" t="s">
        <v>17</v>
      </c>
      <c r="C18" s="5">
        <v>12.7929382324218</v>
      </c>
      <c r="F18" s="6"/>
      <c r="G18" s="6"/>
      <c r="H18" s="7"/>
      <c r="I18" s="7"/>
      <c r="J18" s="6"/>
      <c r="K18" s="6"/>
      <c r="L18" s="7" t="e">
        <f t="shared" si="5"/>
        <v>#DIV/0!</v>
      </c>
    </row>
    <row r="19" spans="1:12">
      <c r="A19">
        <v>153993</v>
      </c>
      <c r="B19" t="s">
        <v>18</v>
      </c>
      <c r="C19" s="5">
        <v>0</v>
      </c>
      <c r="E19">
        <v>5</v>
      </c>
      <c r="F19" s="6" cm="1">
        <f t="array" ref="F19">INDEX(C$15:C$1004,E19*6-4)</f>
        <v>1.62597207236103e-5</v>
      </c>
      <c r="G19" s="6"/>
      <c r="H19" s="7">
        <f t="shared" ref="H16:H47" si="6">24.4/F19/1000</f>
        <v>1500.64078066048</v>
      </c>
      <c r="I19" s="7"/>
      <c r="J19" s="6" cm="1">
        <f t="array" ref="J19">INDEX(C$15:C$1004,E19*6-3)</f>
        <v>1.62597207236103e-5</v>
      </c>
      <c r="K19" s="6"/>
      <c r="L19" s="7">
        <f t="shared" si="5"/>
        <v>1500.64078066048</v>
      </c>
    </row>
    <row r="20" spans="1:12">
      <c r="A20">
        <v>153994</v>
      </c>
      <c r="B20" t="s">
        <v>19</v>
      </c>
      <c r="C20" s="5">
        <v>12.7929382324218</v>
      </c>
      <c r="E20">
        <v>6</v>
      </c>
      <c r="F20" s="6" cm="1">
        <f t="array" ref="F20">INDEX(C$15:C$1004,E20*6-4)</f>
        <v>1.62605447258101e-5</v>
      </c>
      <c r="G20" s="6"/>
      <c r="H20" s="7">
        <f t="shared" si="6"/>
        <v>1500.56473577237</v>
      </c>
      <c r="I20" s="7"/>
      <c r="J20" s="6" cm="1">
        <f t="array" ref="J20">INDEX(C$15:C$1004,E20*6-3)</f>
        <v>1.62624583026627e-5</v>
      </c>
      <c r="K20" s="6"/>
      <c r="L20" s="7">
        <f t="shared" si="5"/>
        <v>1500.3881667758</v>
      </c>
    </row>
    <row r="21" spans="1:12">
      <c r="A21">
        <v>154489</v>
      </c>
      <c r="B21" t="s">
        <v>16</v>
      </c>
      <c r="C21" s="5">
        <v>2.80238055e-11</v>
      </c>
      <c r="E21">
        <v>7</v>
      </c>
      <c r="F21" s="6" cm="1">
        <f t="array" ref="F21">INDEX(C$15:C$1004,E21*6-4)</f>
        <v>1.62629057740559e-5</v>
      </c>
      <c r="G21" s="6"/>
      <c r="H21" s="7">
        <f t="shared" si="6"/>
        <v>1500.34688382227</v>
      </c>
      <c r="I21" s="7"/>
      <c r="J21" s="6" cm="1">
        <f t="array" ref="J21">INDEX(C$15:C$1004,E21*6-3)</f>
        <v>1.62605447258101e-5</v>
      </c>
      <c r="K21" s="6"/>
      <c r="L21" s="7">
        <f t="shared" si="5"/>
        <v>1500.56473577237</v>
      </c>
    </row>
    <row r="22" spans="1:12">
      <c r="A22">
        <v>154490</v>
      </c>
      <c r="B22" t="s">
        <v>13</v>
      </c>
      <c r="C22" s="5">
        <v>1.62750511663034e-5</v>
      </c>
      <c r="E22">
        <v>8</v>
      </c>
      <c r="F22" s="6" cm="1">
        <f t="array" ref="F22">INDEX(C$15:C$1004,E22*6-4)</f>
        <v>1.62593914865283e-5</v>
      </c>
      <c r="G22" s="6"/>
      <c r="H22" s="7">
        <f t="shared" si="6"/>
        <v>1500.67116719691</v>
      </c>
      <c r="I22" s="7"/>
      <c r="J22" s="6" cm="1">
        <f t="array" ref="J22">INDEX(C$15:C$1004,E22*6-3)</f>
        <v>1.62593914865283e-5</v>
      </c>
      <c r="K22" s="6"/>
      <c r="L22" s="7">
        <f t="shared" si="5"/>
        <v>1500.67116719691</v>
      </c>
    </row>
    <row r="23" spans="1:12">
      <c r="A23">
        <v>154491</v>
      </c>
      <c r="B23" t="s">
        <v>15</v>
      </c>
      <c r="C23" s="5">
        <v>1.62709038704633e-5</v>
      </c>
      <c r="E23">
        <v>9</v>
      </c>
      <c r="F23" s="6" cm="1">
        <f t="array" ref="F23">INDEX(C$15:C$1004,E23*6-4)</f>
        <v>1.62624583026627e-5</v>
      </c>
      <c r="G23" s="6"/>
      <c r="H23" s="7">
        <f t="shared" si="6"/>
        <v>1500.3881667758</v>
      </c>
      <c r="I23" s="7"/>
      <c r="J23" s="6" cm="1">
        <f t="array" ref="J23">INDEX(C$15:C$1004,E23*6-3)</f>
        <v>1.62616997840814e-5</v>
      </c>
      <c r="K23" s="6"/>
      <c r="L23" s="7">
        <f t="shared" si="5"/>
        <v>1500.45815160634</v>
      </c>
    </row>
    <row r="24" spans="1:13">
      <c r="A24">
        <v>154492</v>
      </c>
      <c r="B24" t="s">
        <v>17</v>
      </c>
      <c r="C24" s="5">
        <v>1.34834289550781</v>
      </c>
      <c r="E24">
        <v>10</v>
      </c>
      <c r="F24" s="6" cm="1">
        <f t="array" ref="F24">INDEX(C$15:C$1004,E24*6-4)</f>
        <v>1.62600717885652e-5</v>
      </c>
      <c r="G24" s="7">
        <f t="shared" ref="G24:K24" si="7">AVERAGE(F15:F24)</f>
        <v>1.62608488002054e-5</v>
      </c>
      <c r="H24" s="7">
        <f t="shared" si="6"/>
        <v>1500.60838090267</v>
      </c>
      <c r="I24" s="7">
        <f t="shared" si="7"/>
        <v>1500.53668585508</v>
      </c>
      <c r="J24" s="6" cm="1">
        <f t="array" ref="J24">INDEX(C$15:C$1004,E24*6-3)</f>
        <v>1.62640535563696e-5</v>
      </c>
      <c r="K24" s="7">
        <f t="shared" si="7"/>
        <v>1.62613114298437e-5</v>
      </c>
      <c r="L24" s="7">
        <f t="shared" si="5"/>
        <v>1500.2410017547</v>
      </c>
      <c r="M24" s="7" t="e">
        <f t="shared" ref="M24:M87" si="8">AVERAGE(L15:L24)</f>
        <v>#DIV/0!</v>
      </c>
    </row>
    <row r="25" spans="1:13">
      <c r="A25">
        <v>154493</v>
      </c>
      <c r="B25" t="s">
        <v>18</v>
      </c>
      <c r="C25" s="5">
        <v>0</v>
      </c>
      <c r="E25">
        <v>11</v>
      </c>
      <c r="F25" s="6" cm="1">
        <f t="array" ref="F25">INDEX(C$15:C$1004,E25*6-4)</f>
        <v>1.62612886924762e-5</v>
      </c>
      <c r="G25" s="7">
        <f t="shared" ref="G25:G56" si="9">AVERAGE(F16:F25)</f>
        <v>1.62609116419584e-5</v>
      </c>
      <c r="H25" s="7">
        <f t="shared" si="6"/>
        <v>1500.49608376299</v>
      </c>
      <c r="I25" s="7">
        <f t="shared" ref="I25:I69" si="10">AVERAGE(H16:H25)</f>
        <v>1500.53088555621</v>
      </c>
      <c r="J25" s="6" cm="1">
        <f t="array" ref="J25">INDEX(C$15:C$1004,E25*6-3)</f>
        <v>1.62605447258101e-5</v>
      </c>
      <c r="K25" s="7">
        <f t="shared" ref="K25:K56" si="11">AVERAGE(J16:J25)</f>
        <v>1.62612019006961e-5</v>
      </c>
      <c r="L25" s="7">
        <f t="shared" si="5"/>
        <v>1500.56473577237</v>
      </c>
      <c r="M25" s="7" t="e">
        <f t="shared" si="8"/>
        <v>#DIV/0!</v>
      </c>
    </row>
    <row r="26" spans="1:13">
      <c r="A26">
        <v>154494</v>
      </c>
      <c r="B26" t="s">
        <v>19</v>
      </c>
      <c r="C26" s="5">
        <v>1.34834289550781</v>
      </c>
      <c r="E26">
        <v>12</v>
      </c>
      <c r="F26" s="6" cm="1">
        <f t="array" ref="F26">INDEX(C$15:C$1004,E26*6-4)</f>
        <v>1.62616543093463e-5</v>
      </c>
      <c r="G26" s="7">
        <f t="shared" si="9"/>
        <v>1.62610044753819e-5</v>
      </c>
      <c r="H26" s="7">
        <f t="shared" si="6"/>
        <v>1500.46234754703</v>
      </c>
      <c r="I26" s="7">
        <f t="shared" si="10"/>
        <v>1500.52231830507</v>
      </c>
      <c r="J26" s="6" cm="1">
        <f t="array" ref="J26">INDEX(C$15:C$1004,E26*6-3)</f>
        <v>1.62602045747917e-5</v>
      </c>
      <c r="K26" s="7">
        <f t="shared" si="11"/>
        <v>1.6261077234958e-5</v>
      </c>
      <c r="L26" s="7">
        <f t="shared" si="5"/>
        <v>1500.59612643665</v>
      </c>
      <c r="M26" s="7" t="e">
        <f t="shared" si="8"/>
        <v>#DIV/0!</v>
      </c>
    </row>
    <row r="27" spans="1:13">
      <c r="A27">
        <v>154739</v>
      </c>
      <c r="B27" t="s">
        <v>16</v>
      </c>
      <c r="C27">
        <v>-7.7056938608e-10</v>
      </c>
      <c r="E27">
        <v>13</v>
      </c>
      <c r="F27" s="6" cm="1">
        <f t="array" ref="F27">INDEX(C$15:C$1004,E27*6-4)</f>
        <v>1.62612886924762e-5</v>
      </c>
      <c r="G27" s="7">
        <f t="shared" si="9"/>
        <v>1.6261036055059e-5</v>
      </c>
      <c r="H27" s="7">
        <f t="shared" si="6"/>
        <v>1500.49608376299</v>
      </c>
      <c r="I27" s="7">
        <f t="shared" si="10"/>
        <v>1500.51940335595</v>
      </c>
      <c r="J27" s="6" cm="1">
        <f t="array" ref="J27">INDEX(C$15:C$1004,E27*6-3)</f>
        <v>1.62608994287438e-5</v>
      </c>
      <c r="K27" s="7">
        <f t="shared" si="11"/>
        <v>1.6261057478712e-5</v>
      </c>
      <c r="L27" s="7">
        <f t="shared" si="5"/>
        <v>1500.53200359071</v>
      </c>
      <c r="M27" s="7" t="e">
        <f t="shared" si="8"/>
        <v>#DIV/0!</v>
      </c>
    </row>
    <row r="28" spans="1:13">
      <c r="A28">
        <v>154740</v>
      </c>
      <c r="B28" t="s">
        <v>13</v>
      </c>
      <c r="C28" s="5">
        <v>1.62735068442998e-5</v>
      </c>
      <c r="E28">
        <v>14</v>
      </c>
      <c r="F28" s="6" cm="1">
        <f t="array" ref="F28">INDEX(C$15:C$1004,E28*6-4)</f>
        <v>1.62593914865283e-5</v>
      </c>
      <c r="G28" s="7">
        <f t="shared" si="9"/>
        <v>1.6260871598206e-5</v>
      </c>
      <c r="H28" s="7">
        <f t="shared" si="6"/>
        <v>1500.67116719691</v>
      </c>
      <c r="I28" s="7">
        <f t="shared" si="10"/>
        <v>1500.53457974004</v>
      </c>
      <c r="J28" s="6" cm="1">
        <f t="array" ref="J28">INDEX(C$15:C$1004,E28*6-3)</f>
        <v>1.62605447258101e-5</v>
      </c>
      <c r="K28" s="7">
        <f t="shared" si="11"/>
        <v>1.62610062034218e-5</v>
      </c>
      <c r="L28" s="7">
        <f t="shared" si="5"/>
        <v>1500.56473577237</v>
      </c>
      <c r="M28" s="7">
        <f t="shared" si="8"/>
        <v>1500.52216053387</v>
      </c>
    </row>
    <row r="29" spans="1:13">
      <c r="A29">
        <v>154741</v>
      </c>
      <c r="B29" t="s">
        <v>15</v>
      </c>
      <c r="C29" s="5">
        <v>1.62735741469077e-5</v>
      </c>
      <c r="E29">
        <v>15</v>
      </c>
      <c r="F29" s="6" cm="1">
        <f t="array" ref="F29">INDEX(C$15:C$1004,E29*6-4)</f>
        <v>1.62612886924762e-5</v>
      </c>
      <c r="G29" s="7">
        <f t="shared" si="9"/>
        <v>1.62610283950925e-5</v>
      </c>
      <c r="H29" s="7">
        <f t="shared" si="6"/>
        <v>1500.49608376299</v>
      </c>
      <c r="I29" s="7">
        <f t="shared" si="10"/>
        <v>1500.52011005029</v>
      </c>
      <c r="J29" s="6" cm="1">
        <f t="array" ref="J29">INDEX(C$15:C$1004,E29*6-3)</f>
        <v>1.62605447258101e-5</v>
      </c>
      <c r="K29" s="7">
        <f t="shared" si="11"/>
        <v>1.62610886036418e-5</v>
      </c>
      <c r="L29" s="7">
        <f t="shared" si="5"/>
        <v>1500.56473577237</v>
      </c>
      <c r="M29" s="7">
        <f t="shared" si="8"/>
        <v>1500.51455604506</v>
      </c>
    </row>
    <row r="30" spans="1:13">
      <c r="A30">
        <v>154741</v>
      </c>
      <c r="B30" t="s">
        <v>17</v>
      </c>
      <c r="C30">
        <v>-37.0755767822265</v>
      </c>
      <c r="E30">
        <v>16</v>
      </c>
      <c r="F30" s="6" cm="1">
        <f t="array" ref="F30">INDEX(C$15:C$1004,E30*6-4)</f>
        <v>1.62651595019269e-5</v>
      </c>
      <c r="G30" s="7">
        <f t="shared" si="9"/>
        <v>1.62614898727042e-5</v>
      </c>
      <c r="H30" s="7">
        <f t="shared" si="6"/>
        <v>1500.13899323332</v>
      </c>
      <c r="I30" s="7">
        <f t="shared" si="10"/>
        <v>1500.47753579639</v>
      </c>
      <c r="J30" s="6" cm="1">
        <f t="array" ref="J30">INDEX(C$15:C$1004,E30*6-3)</f>
        <v>1.62600717885652e-5</v>
      </c>
      <c r="K30" s="7">
        <f t="shared" si="11"/>
        <v>1.6260849952232e-5</v>
      </c>
      <c r="L30" s="7">
        <f t="shared" si="5"/>
        <v>1500.60838090267</v>
      </c>
      <c r="M30" s="7">
        <f t="shared" si="8"/>
        <v>1500.53657745775</v>
      </c>
    </row>
    <row r="31" spans="1:13">
      <c r="A31">
        <v>154742</v>
      </c>
      <c r="B31" t="s">
        <v>18</v>
      </c>
      <c r="C31" s="5">
        <v>0</v>
      </c>
      <c r="E31">
        <v>17</v>
      </c>
      <c r="F31" s="6" cm="1">
        <f t="array" ref="F31">INDEX(C$15:C$1004,E31*6-4)</f>
        <v>1.6264564692392e-5</v>
      </c>
      <c r="G31" s="7">
        <f t="shared" si="9"/>
        <v>1.62616557645378e-5</v>
      </c>
      <c r="H31" s="7">
        <f t="shared" si="6"/>
        <v>1500.19385464484</v>
      </c>
      <c r="I31" s="7">
        <f t="shared" si="10"/>
        <v>1500.46223287865</v>
      </c>
      <c r="J31" s="6" cm="1">
        <f t="array" ref="J31">INDEX(C$15:C$1004,E31*6-3)</f>
        <v>1.62600717885652e-5</v>
      </c>
      <c r="K31" s="7">
        <f t="shared" si="11"/>
        <v>1.62608026585075e-5</v>
      </c>
      <c r="L31" s="7">
        <f t="shared" si="5"/>
        <v>1500.60838090267</v>
      </c>
      <c r="M31" s="7">
        <f t="shared" si="8"/>
        <v>1500.54094197078</v>
      </c>
    </row>
    <row r="32" spans="1:13">
      <c r="A32">
        <v>154743</v>
      </c>
      <c r="B32" t="s">
        <v>19</v>
      </c>
      <c r="C32">
        <v>-37.0755767822265</v>
      </c>
      <c r="E32">
        <v>18</v>
      </c>
      <c r="F32" s="6" cm="1">
        <f t="array" ref="F32">INDEX(C$15:C$1004,E32*6-4)</f>
        <v>1.62616997840814e-5</v>
      </c>
      <c r="G32" s="7">
        <f t="shared" si="9"/>
        <v>1.62618865942931e-5</v>
      </c>
      <c r="H32" s="7">
        <f t="shared" si="6"/>
        <v>1500.45815160634</v>
      </c>
      <c r="I32" s="7">
        <f t="shared" si="10"/>
        <v>1500.44093131959</v>
      </c>
      <c r="J32" s="6" cm="1">
        <f t="array" ref="J32">INDEX(C$15:C$1004,E32*6-3)</f>
        <v>1.62600717885652e-5</v>
      </c>
      <c r="K32" s="7">
        <f t="shared" si="11"/>
        <v>1.62608706887112e-5</v>
      </c>
      <c r="L32" s="7">
        <f t="shared" si="5"/>
        <v>1500.60838090267</v>
      </c>
      <c r="M32" s="7">
        <f t="shared" si="8"/>
        <v>1500.53466334135</v>
      </c>
    </row>
    <row r="33" spans="1:13">
      <c r="A33">
        <v>155239</v>
      </c>
      <c r="B33" t="s">
        <v>16</v>
      </c>
      <c r="C33">
        <v>-4.789058039e-10</v>
      </c>
      <c r="E33">
        <v>19</v>
      </c>
      <c r="F33" s="6" cm="1">
        <f t="array" ref="F33">INDEX(C$15:C$1004,E33*6-4)</f>
        <v>1.62595897563733e-5</v>
      </c>
      <c r="G33" s="7">
        <f t="shared" si="9"/>
        <v>1.62615997396642e-5</v>
      </c>
      <c r="H33" s="7">
        <f t="shared" si="6"/>
        <v>1500.65286797509</v>
      </c>
      <c r="I33" s="7">
        <f t="shared" si="10"/>
        <v>1500.46740143952</v>
      </c>
      <c r="J33" s="6" cm="1">
        <f t="array" ref="J33">INDEX(C$15:C$1004,E33*6-3)</f>
        <v>1.62629057740559e-5</v>
      </c>
      <c r="K33" s="7">
        <f t="shared" si="11"/>
        <v>1.62609912877087e-5</v>
      </c>
      <c r="L33" s="7">
        <f t="shared" si="5"/>
        <v>1500.34688382227</v>
      </c>
      <c r="M33" s="7">
        <f t="shared" si="8"/>
        <v>1500.52353656294</v>
      </c>
    </row>
    <row r="34" spans="1:13">
      <c r="A34">
        <v>155240</v>
      </c>
      <c r="B34" t="s">
        <v>13</v>
      </c>
      <c r="C34" s="5">
        <v>1.62725900736404e-5</v>
      </c>
      <c r="E34">
        <v>20</v>
      </c>
      <c r="F34" s="6" cm="1">
        <f t="array" ref="F34">INDEX(C$15:C$1004,E34*6-4)</f>
        <v>1.62581982294796e-5</v>
      </c>
      <c r="G34" s="7">
        <f t="shared" si="9"/>
        <v>1.62614123837556e-5</v>
      </c>
      <c r="H34" s="7">
        <f t="shared" si="6"/>
        <v>1500.78130771942</v>
      </c>
      <c r="I34" s="7">
        <f t="shared" si="10"/>
        <v>1500.48469412119</v>
      </c>
      <c r="J34" s="6" cm="1">
        <f t="array" ref="J34">INDEX(C$15:C$1004,E34*6-3)</f>
        <v>1.62590858963085e-5</v>
      </c>
      <c r="K34" s="7">
        <f t="shared" si="11"/>
        <v>1.62604945217026e-5</v>
      </c>
      <c r="L34" s="7">
        <f t="shared" si="5"/>
        <v>1500.69937237614</v>
      </c>
      <c r="M34" s="7">
        <f t="shared" si="8"/>
        <v>1500.56937362509</v>
      </c>
    </row>
    <row r="35" spans="1:13">
      <c r="A35">
        <v>155241</v>
      </c>
      <c r="B35" t="s">
        <v>15</v>
      </c>
      <c r="C35" s="5">
        <v>1.62735741469077e-5</v>
      </c>
      <c r="E35">
        <v>21</v>
      </c>
      <c r="F35" s="6" cm="1">
        <f t="array" ref="F35">INDEX(C$15:C$1004,E35*6-4)</f>
        <v>1.62624583026627e-5</v>
      </c>
      <c r="G35" s="7">
        <f t="shared" si="9"/>
        <v>1.62615293447743e-5</v>
      </c>
      <c r="H35" s="7">
        <f t="shared" si="6"/>
        <v>1500.3881667758</v>
      </c>
      <c r="I35" s="7">
        <f t="shared" si="10"/>
        <v>1500.47390242248</v>
      </c>
      <c r="J35" s="6" cm="1">
        <f t="array" ref="J35">INDEX(C$15:C$1004,E35*6-3)</f>
        <v>1.62612886924762e-5</v>
      </c>
      <c r="K35" s="7">
        <f t="shared" si="11"/>
        <v>1.62605689183692e-5</v>
      </c>
      <c r="L35" s="7">
        <f t="shared" si="5"/>
        <v>1500.49608376299</v>
      </c>
      <c r="M35" s="7">
        <f t="shared" si="8"/>
        <v>1500.56250842415</v>
      </c>
    </row>
    <row r="36" spans="1:13">
      <c r="A36">
        <v>155242</v>
      </c>
      <c r="B36" t="s">
        <v>17</v>
      </c>
      <c r="C36">
        <v>-23.0435485839843</v>
      </c>
      <c r="E36">
        <v>22</v>
      </c>
      <c r="F36" s="6" cm="1">
        <f t="array" ref="F36">INDEX(C$15:C$1004,E36*6-4)</f>
        <v>1.62604410434141e-5</v>
      </c>
      <c r="G36" s="7">
        <f t="shared" si="9"/>
        <v>1.62614080181811e-5</v>
      </c>
      <c r="H36" s="7">
        <f t="shared" si="6"/>
        <v>1500.57430391057</v>
      </c>
      <c r="I36" s="7">
        <f t="shared" si="10"/>
        <v>1500.48509805883</v>
      </c>
      <c r="J36" s="6" cm="1">
        <f t="array" ref="J36">INDEX(C$15:C$1004,E36*6-3)</f>
        <v>1.62584874487947e-5</v>
      </c>
      <c r="K36" s="7">
        <f t="shared" si="11"/>
        <v>1.62603972057695e-5</v>
      </c>
      <c r="L36" s="7">
        <f t="shared" si="5"/>
        <v>1500.7546105901</v>
      </c>
      <c r="M36" s="7">
        <f t="shared" si="8"/>
        <v>1500.5783568395</v>
      </c>
    </row>
    <row r="37" spans="1:13">
      <c r="A37">
        <v>155243</v>
      </c>
      <c r="B37" t="s">
        <v>18</v>
      </c>
      <c r="C37" s="5">
        <v>0</v>
      </c>
      <c r="E37">
        <v>23</v>
      </c>
      <c r="F37" s="6" cm="1">
        <f t="array" ref="F37">INDEX(C$15:C$1004,E37*6-4)</f>
        <v>1.62629057740559e-5</v>
      </c>
      <c r="G37" s="7">
        <f t="shared" si="9"/>
        <v>1.6261569726339e-5</v>
      </c>
      <c r="H37" s="7">
        <f t="shared" si="6"/>
        <v>1500.34688382227</v>
      </c>
      <c r="I37" s="7">
        <f t="shared" si="10"/>
        <v>1500.47017806476</v>
      </c>
      <c r="J37" s="6" cm="1">
        <f t="array" ref="J37">INDEX(C$15:C$1004,E37*6-3)</f>
        <v>1.6264564692392e-5</v>
      </c>
      <c r="K37" s="7">
        <f t="shared" si="11"/>
        <v>1.62607637321343e-5</v>
      </c>
      <c r="L37" s="7">
        <f t="shared" si="5"/>
        <v>1500.19385464484</v>
      </c>
      <c r="M37" s="7">
        <f t="shared" si="8"/>
        <v>1500.54454194491</v>
      </c>
    </row>
    <row r="38" spans="1:13">
      <c r="A38">
        <v>155243</v>
      </c>
      <c r="B38" t="s">
        <v>19</v>
      </c>
      <c r="C38">
        <v>-23.0435485839843</v>
      </c>
      <c r="E38">
        <v>24</v>
      </c>
      <c r="F38" s="6" cm="1">
        <f t="array" ref="F38">INDEX(C$15:C$1004,E38*6-4)</f>
        <v>1.62638898473233e-5</v>
      </c>
      <c r="G38" s="7">
        <f t="shared" si="9"/>
        <v>1.62620195624185e-5</v>
      </c>
      <c r="H38" s="7">
        <f t="shared" si="6"/>
        <v>1500.25610287909</v>
      </c>
      <c r="I38" s="7">
        <f t="shared" si="10"/>
        <v>1500.42867163297</v>
      </c>
      <c r="J38" s="6" cm="1">
        <f t="array" ref="J38">INDEX(C$15:C$1004,E38*6-3)</f>
        <v>1.62612886924762e-5</v>
      </c>
      <c r="K38" s="7">
        <f t="shared" si="11"/>
        <v>1.62608381288009e-5</v>
      </c>
      <c r="L38" s="7">
        <f t="shared" si="5"/>
        <v>1500.49608376299</v>
      </c>
      <c r="M38" s="7">
        <f t="shared" si="8"/>
        <v>1500.53767674397</v>
      </c>
    </row>
    <row r="39" spans="1:13">
      <c r="A39">
        <v>1931426</v>
      </c>
      <c r="B39" t="s">
        <v>16</v>
      </c>
      <c r="C39" s="5">
        <v>3.24007488e-12</v>
      </c>
      <c r="E39">
        <v>25</v>
      </c>
      <c r="F39" s="6" cm="1">
        <f t="array" ref="F39">INDEX(C$15:C$1004,E39*6-4)</f>
        <v>1.62635806191247e-5</v>
      </c>
      <c r="G39" s="7">
        <f t="shared" si="9"/>
        <v>1.62622487550834e-5</v>
      </c>
      <c r="H39" s="7">
        <f t="shared" si="6"/>
        <v>1500.28462805463</v>
      </c>
      <c r="I39" s="7">
        <f t="shared" si="10"/>
        <v>1500.40752606214</v>
      </c>
      <c r="J39" s="6" cm="1">
        <f t="array" ref="J39">INDEX(C$15:C$1004,E39*6-3)</f>
        <v>1.62620399350998e-5</v>
      </c>
      <c r="K39" s="7">
        <f t="shared" si="11"/>
        <v>1.62609876497299e-5</v>
      </c>
      <c r="L39" s="7">
        <f t="shared" si="5"/>
        <v>1500.42676671426</v>
      </c>
      <c r="M39" s="7">
        <f t="shared" si="8"/>
        <v>1500.52387983816</v>
      </c>
    </row>
    <row r="40" spans="1:13">
      <c r="A40">
        <v>1931427</v>
      </c>
      <c r="B40" t="s">
        <v>13</v>
      </c>
      <c r="C40" s="5">
        <v>1.62597207236103e-5</v>
      </c>
      <c r="E40">
        <v>26</v>
      </c>
      <c r="F40" s="6" cm="1">
        <f t="array" ref="F40">INDEX(C$15:C$1004,E40*6-4)</f>
        <v>1.62662745424313e-5</v>
      </c>
      <c r="G40" s="7">
        <f t="shared" si="9"/>
        <v>1.62623602591338e-5</v>
      </c>
      <c r="H40" s="7">
        <f t="shared" si="6"/>
        <v>1500.03615986878</v>
      </c>
      <c r="I40" s="7">
        <f t="shared" si="10"/>
        <v>1500.39724272568</v>
      </c>
      <c r="J40" s="6" cm="1">
        <f t="array" ref="J40">INDEX(C$15:C$1004,E40*6-3)</f>
        <v>1.62608994287438e-5</v>
      </c>
      <c r="K40" s="7">
        <f t="shared" si="11"/>
        <v>1.62610704137478e-5</v>
      </c>
      <c r="L40" s="7">
        <f t="shared" si="5"/>
        <v>1500.53200359071</v>
      </c>
      <c r="M40" s="7">
        <f t="shared" si="8"/>
        <v>1500.51624210697</v>
      </c>
    </row>
    <row r="41" spans="1:13">
      <c r="A41">
        <v>1931428</v>
      </c>
      <c r="B41" t="s">
        <v>15</v>
      </c>
      <c r="C41" s="5">
        <v>1.62597207236103e-5</v>
      </c>
      <c r="E41">
        <v>27</v>
      </c>
      <c r="F41" s="6" cm="1">
        <f t="array" ref="F41">INDEX(C$15:C$1004,E41*6-4)</f>
        <v>1.62624583026627e-5</v>
      </c>
      <c r="G41" s="7">
        <f t="shared" si="9"/>
        <v>1.62621496201609e-5</v>
      </c>
      <c r="H41" s="7">
        <f t="shared" si="6"/>
        <v>1500.3881667758</v>
      </c>
      <c r="I41" s="7">
        <f t="shared" si="10"/>
        <v>1500.41667393878</v>
      </c>
      <c r="J41" s="6" cm="1">
        <f t="array" ref="J41">INDEX(C$15:C$1004,E41*6-3)</f>
        <v>1.62590858963085e-5</v>
      </c>
      <c r="K41" s="7">
        <f t="shared" si="11"/>
        <v>1.62609718245221e-5</v>
      </c>
      <c r="L41" s="7">
        <f t="shared" si="5"/>
        <v>1500.69937237614</v>
      </c>
      <c r="M41" s="7">
        <f t="shared" si="8"/>
        <v>1500.52534125431</v>
      </c>
    </row>
    <row r="42" spans="1:13">
      <c r="A42">
        <v>1931429</v>
      </c>
      <c r="B42" t="s">
        <v>17</v>
      </c>
      <c r="C42" s="5">
        <v>0.156112670898437</v>
      </c>
      <c r="E42">
        <v>28</v>
      </c>
      <c r="F42" s="6" cm="1">
        <f t="array" ref="F42">INDEX(C$15:C$1004,E42*6-4)</f>
        <v>1.62579272000584e-5</v>
      </c>
      <c r="G42" s="7">
        <f t="shared" si="9"/>
        <v>1.62617723617586e-5</v>
      </c>
      <c r="H42" s="7">
        <f t="shared" si="6"/>
        <v>1500.80632664614</v>
      </c>
      <c r="I42" s="7">
        <f t="shared" si="10"/>
        <v>1500.45149144276</v>
      </c>
      <c r="J42" s="6" cm="1">
        <f t="array" ref="J42">INDEX(C$15:C$1004,E42*6-3)</f>
        <v>1.62569613166851e-5</v>
      </c>
      <c r="K42" s="7">
        <f t="shared" si="11"/>
        <v>1.62606607773341e-5</v>
      </c>
      <c r="L42" s="7">
        <f t="shared" si="5"/>
        <v>1500.89549483995</v>
      </c>
      <c r="M42" s="7">
        <f t="shared" si="8"/>
        <v>1500.55405264804</v>
      </c>
    </row>
    <row r="43" spans="1:13">
      <c r="A43">
        <v>1931430</v>
      </c>
      <c r="B43" t="s">
        <v>18</v>
      </c>
      <c r="C43" s="5">
        <v>0</v>
      </c>
      <c r="E43">
        <v>29</v>
      </c>
      <c r="F43" s="6" cm="1">
        <f t="array" ref="F43">INDEX(C$15:C$1004,E43*6-4)</f>
        <v>1.62616997840814e-5</v>
      </c>
      <c r="G43" s="7">
        <f t="shared" si="9"/>
        <v>1.62619833645294e-5</v>
      </c>
      <c r="H43" s="7">
        <f t="shared" si="6"/>
        <v>1500.45815160634</v>
      </c>
      <c r="I43" s="7">
        <f t="shared" si="10"/>
        <v>1500.43201980588</v>
      </c>
      <c r="J43" s="6" cm="1">
        <f t="array" ref="J43">INDEX(C$15:C$1004,E43*6-3)</f>
        <v>1.62600717885652e-5</v>
      </c>
      <c r="K43" s="7">
        <f t="shared" si="11"/>
        <v>1.6260377378785e-5</v>
      </c>
      <c r="L43" s="7">
        <f t="shared" si="5"/>
        <v>1500.60838090267</v>
      </c>
      <c r="M43" s="7">
        <f t="shared" si="8"/>
        <v>1500.58020235608</v>
      </c>
    </row>
    <row r="44" spans="1:13">
      <c r="A44">
        <v>1931431</v>
      </c>
      <c r="B44" t="s">
        <v>19</v>
      </c>
      <c r="C44" s="5">
        <v>0.156112670898437</v>
      </c>
      <c r="E44">
        <v>30</v>
      </c>
      <c r="F44" s="6" cm="1">
        <f t="array" ref="F44">INDEX(C$15:C$1004,E44*6-4)</f>
        <v>1.62608994287438e-5</v>
      </c>
      <c r="G44" s="7">
        <f t="shared" si="9"/>
        <v>1.62622534844558e-5</v>
      </c>
      <c r="H44" s="7">
        <f t="shared" si="6"/>
        <v>1500.53200359071</v>
      </c>
      <c r="I44" s="7">
        <f t="shared" si="10"/>
        <v>1500.40708939301</v>
      </c>
      <c r="J44" s="6" cm="1">
        <f t="array" ref="J44">INDEX(C$15:C$1004,E44*6-3)</f>
        <v>1.62605447258101e-5</v>
      </c>
      <c r="K44" s="7">
        <f t="shared" si="11"/>
        <v>1.62605232617352e-5</v>
      </c>
      <c r="L44" s="7">
        <f t="shared" si="5"/>
        <v>1500.56473577237</v>
      </c>
      <c r="M44" s="7">
        <f t="shared" si="8"/>
        <v>1500.5667386957</v>
      </c>
    </row>
    <row r="45" spans="1:13">
      <c r="A45">
        <v>1931676</v>
      </c>
      <c r="B45" t="s">
        <v>16</v>
      </c>
      <c r="C45" s="5">
        <v>1.074340616e-11</v>
      </c>
      <c r="E45">
        <v>31</v>
      </c>
      <c r="F45" s="6" cm="1">
        <f t="array" ref="F45">INDEX(C$15:C$1004,E45*6-4)</f>
        <v>1.62593914865283e-5</v>
      </c>
      <c r="G45" s="7">
        <f t="shared" si="9"/>
        <v>1.62619468028424e-5</v>
      </c>
      <c r="H45" s="7">
        <f t="shared" si="6"/>
        <v>1500.67116719691</v>
      </c>
      <c r="I45" s="7">
        <f t="shared" si="10"/>
        <v>1500.43538943513</v>
      </c>
      <c r="J45" s="6" cm="1">
        <f t="array" ref="J45">INDEX(C$15:C$1004,E45*6-3)</f>
        <v>1.62616997840814e-5</v>
      </c>
      <c r="K45" s="7">
        <f t="shared" si="11"/>
        <v>1.62605643708957e-5</v>
      </c>
      <c r="L45" s="7">
        <f t="shared" si="5"/>
        <v>1500.45815160634</v>
      </c>
      <c r="M45" s="7">
        <f t="shared" si="8"/>
        <v>1500.56294548004</v>
      </c>
    </row>
    <row r="46" spans="1:13">
      <c r="A46">
        <v>1931677</v>
      </c>
      <c r="B46" t="s">
        <v>13</v>
      </c>
      <c r="C46" s="5">
        <v>1.62605447258101e-5</v>
      </c>
      <c r="E46">
        <v>32</v>
      </c>
      <c r="F46" s="6" cm="1">
        <f t="array" ref="F46">INDEX(C$15:C$1004,E46*6-4)</f>
        <v>1.62600717885652e-5</v>
      </c>
      <c r="G46" s="7">
        <f t="shared" si="9"/>
        <v>1.62619098773575e-5</v>
      </c>
      <c r="H46" s="7">
        <f t="shared" si="6"/>
        <v>1500.60838090267</v>
      </c>
      <c r="I46" s="7">
        <f t="shared" si="10"/>
        <v>1500.43879713434</v>
      </c>
      <c r="J46" s="6" cm="1">
        <f t="array" ref="J46">INDEX(C$15:C$1004,E46*6-3)</f>
        <v>1.62629057740559e-5</v>
      </c>
      <c r="K46" s="7">
        <f t="shared" si="11"/>
        <v>1.62610062034218e-5</v>
      </c>
      <c r="L46" s="7">
        <f t="shared" si="5"/>
        <v>1500.34688382227</v>
      </c>
      <c r="M46" s="7">
        <f t="shared" si="8"/>
        <v>1500.52217280326</v>
      </c>
    </row>
    <row r="47" spans="1:13">
      <c r="A47">
        <v>1931678</v>
      </c>
      <c r="B47" t="s">
        <v>15</v>
      </c>
      <c r="C47" s="5">
        <v>1.62624583026627e-5</v>
      </c>
      <c r="E47">
        <v>33</v>
      </c>
      <c r="F47" s="6" cm="1">
        <f t="array" ref="F47">INDEX(C$15:C$1004,E47*6-4)</f>
        <v>1.62616997840814e-5</v>
      </c>
      <c r="G47" s="7">
        <f t="shared" si="9"/>
        <v>1.626178927836e-5</v>
      </c>
      <c r="H47" s="7">
        <f t="shared" si="6"/>
        <v>1500.45815160634</v>
      </c>
      <c r="I47" s="7">
        <f t="shared" si="10"/>
        <v>1500.44992391274</v>
      </c>
      <c r="J47" s="6" cm="1">
        <f t="array" ref="J47">INDEX(C$15:C$1004,E47*6-3)</f>
        <v>1.62633787113009e-5</v>
      </c>
      <c r="K47" s="7">
        <f t="shared" si="11"/>
        <v>1.62608876053127e-5</v>
      </c>
      <c r="L47" s="7">
        <f t="shared" si="5"/>
        <v>1500.30325390168</v>
      </c>
      <c r="M47" s="7">
        <f t="shared" si="8"/>
        <v>1500.53311272894</v>
      </c>
    </row>
    <row r="48" spans="1:13">
      <c r="A48">
        <v>1931679</v>
      </c>
      <c r="B48" t="s">
        <v>17</v>
      </c>
      <c r="C48" s="5">
        <v>0.517562866210937</v>
      </c>
      <c r="E48">
        <v>34</v>
      </c>
      <c r="F48" s="6" cm="1">
        <f t="array" ref="F48">INDEX(C$15:C$1004,E48*6-4)</f>
        <v>1.62584874487947e-5</v>
      </c>
      <c r="G48" s="7">
        <f t="shared" si="9"/>
        <v>1.62612490385072e-5</v>
      </c>
      <c r="H48" s="7">
        <f t="shared" ref="H48:H79" si="12">24.4/F48/1000</f>
        <v>1500.7546105901</v>
      </c>
      <c r="I48" s="7">
        <f t="shared" si="10"/>
        <v>1500.49977468384</v>
      </c>
      <c r="J48" s="6" cm="1">
        <f t="array" ref="J48">INDEX(C$15:C$1004,E48*6-3)</f>
        <v>1.62600717885652e-5</v>
      </c>
      <c r="K48" s="7">
        <f t="shared" si="11"/>
        <v>1.62607659149216e-5</v>
      </c>
      <c r="L48" s="7">
        <f t="shared" si="5"/>
        <v>1500.60838090267</v>
      </c>
      <c r="M48" s="7">
        <f t="shared" si="8"/>
        <v>1500.54434244291</v>
      </c>
    </row>
    <row r="49" spans="1:13">
      <c r="A49">
        <v>1931680</v>
      </c>
      <c r="B49" t="s">
        <v>18</v>
      </c>
      <c r="C49" s="5">
        <v>0</v>
      </c>
      <c r="E49">
        <v>35</v>
      </c>
      <c r="F49" s="6" cm="1">
        <f t="array" ref="F49">INDEX(C$15:C$1004,E49*6-4)</f>
        <v>1.62612886924762e-5</v>
      </c>
      <c r="G49" s="7">
        <f t="shared" si="9"/>
        <v>1.62610198458423e-5</v>
      </c>
      <c r="H49" s="7">
        <f t="shared" si="12"/>
        <v>1500.49608376299</v>
      </c>
      <c r="I49" s="7">
        <f t="shared" si="10"/>
        <v>1500.52092025468</v>
      </c>
      <c r="J49" s="6" cm="1">
        <f t="array" ref="J49">INDEX(C$15:C$1004,E49*6-3)</f>
        <v>1.62612886924762e-5</v>
      </c>
      <c r="K49" s="7">
        <f t="shared" si="11"/>
        <v>1.62606907906592e-5</v>
      </c>
      <c r="L49" s="7">
        <f t="shared" si="5"/>
        <v>1500.49608376299</v>
      </c>
      <c r="M49" s="7">
        <f t="shared" si="8"/>
        <v>1500.55127414778</v>
      </c>
    </row>
    <row r="50" spans="1:13">
      <c r="A50">
        <v>1931681</v>
      </c>
      <c r="B50" t="s">
        <v>19</v>
      </c>
      <c r="C50" s="5">
        <v>0.517562866210937</v>
      </c>
      <c r="E50">
        <v>36</v>
      </c>
      <c r="F50" s="6" cm="1">
        <f t="array" ref="F50">INDEX(C$15:C$1004,E50*6-4)</f>
        <v>1.62633787113009e-5</v>
      </c>
      <c r="G50" s="7">
        <f t="shared" si="9"/>
        <v>1.62607302627293e-5</v>
      </c>
      <c r="H50" s="7">
        <f t="shared" si="12"/>
        <v>1500.30325390168</v>
      </c>
      <c r="I50" s="7">
        <f t="shared" si="10"/>
        <v>1500.54762965797</v>
      </c>
      <c r="J50" s="6" cm="1">
        <f t="array" ref="J50">INDEX(C$15:C$1004,E50*6-3)</f>
        <v>1.62576761795207e-5</v>
      </c>
      <c r="K50" s="7">
        <f t="shared" si="11"/>
        <v>1.62603684657369e-5</v>
      </c>
      <c r="L50" s="7">
        <f t="shared" si="5"/>
        <v>1500.82949928206</v>
      </c>
      <c r="M50" s="7">
        <f t="shared" si="8"/>
        <v>1500.58102371691</v>
      </c>
    </row>
    <row r="51" spans="1:13">
      <c r="A51">
        <v>1931926</v>
      </c>
      <c r="B51" t="s">
        <v>16</v>
      </c>
      <c r="C51" s="5">
        <v>3.973354978e-11</v>
      </c>
      <c r="E51">
        <v>37</v>
      </c>
      <c r="F51" s="6" cm="1">
        <f t="array" ref="F51">INDEX(C$15:C$1004,E51*6-4)</f>
        <v>1.62629057740559e-5</v>
      </c>
      <c r="G51" s="7">
        <f t="shared" si="9"/>
        <v>1.62607750098686e-5</v>
      </c>
      <c r="H51" s="7">
        <f t="shared" si="12"/>
        <v>1500.34688382227</v>
      </c>
      <c r="I51" s="7">
        <f t="shared" si="10"/>
        <v>1500.54350136262</v>
      </c>
      <c r="J51" s="6" cm="1">
        <f t="array" ref="J51">INDEX(C$15:C$1004,E51*6-3)</f>
        <v>1.62584874487947e-5</v>
      </c>
      <c r="K51" s="7">
        <f t="shared" si="11"/>
        <v>1.62603086209855e-5</v>
      </c>
      <c r="L51" s="7">
        <f t="shared" si="5"/>
        <v>1500.7546105901</v>
      </c>
      <c r="M51" s="7">
        <f t="shared" si="8"/>
        <v>1500.58654753831</v>
      </c>
    </row>
    <row r="52" spans="1:13">
      <c r="A52">
        <v>1931927</v>
      </c>
      <c r="B52" t="s">
        <v>13</v>
      </c>
      <c r="C52" s="5">
        <v>1.62629057740559e-5</v>
      </c>
      <c r="E52">
        <v>38</v>
      </c>
      <c r="F52" s="6" cm="1">
        <f t="array" ref="F52">INDEX(C$15:C$1004,E52*6-4)</f>
        <v>1.62624583026627e-5</v>
      </c>
      <c r="G52" s="7">
        <f t="shared" si="9"/>
        <v>1.62612281201291e-5</v>
      </c>
      <c r="H52" s="7">
        <f t="shared" si="12"/>
        <v>1500.3881667758</v>
      </c>
      <c r="I52" s="7">
        <f t="shared" si="10"/>
        <v>1500.50168537558</v>
      </c>
      <c r="J52" s="6" cm="1">
        <f t="array" ref="J52">INDEX(C$15:C$1004,E52*6-3)</f>
        <v>1.62612886924762e-5</v>
      </c>
      <c r="K52" s="7">
        <f t="shared" si="11"/>
        <v>1.62607413585646e-5</v>
      </c>
      <c r="L52" s="7">
        <f t="shared" si="5"/>
        <v>1500.49608376299</v>
      </c>
      <c r="M52" s="7">
        <f t="shared" si="8"/>
        <v>1500.54660643062</v>
      </c>
    </row>
    <row r="53" spans="1:13">
      <c r="A53">
        <v>1931928</v>
      </c>
      <c r="B53" t="s">
        <v>15</v>
      </c>
      <c r="C53" s="5">
        <v>1.62605447258101e-5</v>
      </c>
      <c r="E53">
        <v>39</v>
      </c>
      <c r="F53" s="6" cm="1">
        <f t="array" ref="F53">INDEX(C$15:C$1004,E53*6-4)</f>
        <v>1.62624583026627e-5</v>
      </c>
      <c r="G53" s="7">
        <f t="shared" si="9"/>
        <v>1.62613039719872e-5</v>
      </c>
      <c r="H53" s="7">
        <f t="shared" si="12"/>
        <v>1500.3881667758</v>
      </c>
      <c r="I53" s="7">
        <f t="shared" si="10"/>
        <v>1500.49468689253</v>
      </c>
      <c r="J53" s="6" cm="1">
        <f t="array" ref="J53">INDEX(C$15:C$1004,E53*6-3)</f>
        <v>1.62640535563696e-5</v>
      </c>
      <c r="K53" s="7">
        <f t="shared" si="11"/>
        <v>1.62611395353451e-5</v>
      </c>
      <c r="L53" s="7">
        <f t="shared" si="5"/>
        <v>1500.2410017547</v>
      </c>
      <c r="M53" s="7">
        <f t="shared" si="8"/>
        <v>1500.50986851582</v>
      </c>
    </row>
    <row r="54" spans="1:13">
      <c r="A54">
        <v>1931929</v>
      </c>
      <c r="B54" t="s">
        <v>17</v>
      </c>
      <c r="C54" s="5">
        <v>1.91452026367187</v>
      </c>
      <c r="E54">
        <v>40</v>
      </c>
      <c r="F54" s="6" cm="1">
        <f t="array" ref="F54">INDEX(C$15:C$1004,E54*6-4)</f>
        <v>1.62640535563696e-5</v>
      </c>
      <c r="G54" s="7">
        <f t="shared" si="9"/>
        <v>1.62616193847498e-5</v>
      </c>
      <c r="H54" s="7">
        <f t="shared" si="12"/>
        <v>1500.2410017547</v>
      </c>
      <c r="I54" s="7">
        <f t="shared" si="10"/>
        <v>1500.46558670893</v>
      </c>
      <c r="J54" s="6" cm="1">
        <f t="array" ref="J54">INDEX(C$15:C$1004,E54*6-3)</f>
        <v>1.62608994287438e-5</v>
      </c>
      <c r="K54" s="7">
        <f t="shared" si="11"/>
        <v>1.62611750056385e-5</v>
      </c>
      <c r="L54" s="7">
        <f t="shared" si="5"/>
        <v>1500.53200359071</v>
      </c>
      <c r="M54" s="7">
        <f t="shared" si="8"/>
        <v>1500.50659529765</v>
      </c>
    </row>
    <row r="55" spans="1:13">
      <c r="A55">
        <v>1931930</v>
      </c>
      <c r="B55" t="s">
        <v>18</v>
      </c>
      <c r="C55" s="5">
        <v>0</v>
      </c>
      <c r="E55">
        <v>41</v>
      </c>
      <c r="F55" s="6" cm="1">
        <f t="array" ref="F55">INDEX(C$15:C$1004,E55*6-4)</f>
        <v>1.62612886924762e-5</v>
      </c>
      <c r="G55" s="7">
        <f t="shared" si="9"/>
        <v>1.62618091053446e-5</v>
      </c>
      <c r="H55" s="7">
        <f t="shared" si="12"/>
        <v>1500.49608376299</v>
      </c>
      <c r="I55" s="7">
        <f t="shared" si="10"/>
        <v>1500.44807836554</v>
      </c>
      <c r="J55" s="6" cm="1">
        <f t="array" ref="J55">INDEX(C$15:C$1004,E55*6-3)</f>
        <v>1.62629057740559e-5</v>
      </c>
      <c r="K55" s="7">
        <f t="shared" si="11"/>
        <v>1.62612956046359e-5</v>
      </c>
      <c r="L55" s="7">
        <f t="shared" si="5"/>
        <v>1500.34688382227</v>
      </c>
      <c r="M55" s="7">
        <f t="shared" si="8"/>
        <v>1500.49546851925</v>
      </c>
    </row>
    <row r="56" spans="1:13">
      <c r="A56">
        <v>1931931</v>
      </c>
      <c r="B56" t="s">
        <v>19</v>
      </c>
      <c r="C56" s="5">
        <v>1.91452026367187</v>
      </c>
      <c r="E56">
        <v>42</v>
      </c>
      <c r="F56" s="6" cm="1">
        <f t="array" ref="F56">INDEX(C$15:C$1004,E56*6-4)</f>
        <v>1.62600717885652e-5</v>
      </c>
      <c r="G56" s="7">
        <f t="shared" si="9"/>
        <v>1.62618091053446e-5</v>
      </c>
      <c r="H56" s="7">
        <f t="shared" si="12"/>
        <v>1500.60838090267</v>
      </c>
      <c r="I56" s="7">
        <f t="shared" si="10"/>
        <v>1500.44807836554</v>
      </c>
      <c r="J56" s="6" cm="1">
        <f t="array" ref="J56">INDEX(C$15:C$1004,E56*6-3)</f>
        <v>1.62620399350998e-5</v>
      </c>
      <c r="K56" s="7">
        <f t="shared" si="11"/>
        <v>1.62612090207403e-5</v>
      </c>
      <c r="L56" s="7">
        <f t="shared" si="5"/>
        <v>1500.42676671426</v>
      </c>
      <c r="M56" s="7">
        <f t="shared" si="8"/>
        <v>1500.50345680844</v>
      </c>
    </row>
    <row r="57" spans="1:13">
      <c r="A57">
        <v>1932176</v>
      </c>
      <c r="B57" t="s">
        <v>16</v>
      </c>
      <c r="C57" s="5">
        <v>3.933564585e-11</v>
      </c>
      <c r="E57">
        <v>43</v>
      </c>
      <c r="F57" s="6" cm="1">
        <f t="array" ref="F57">INDEX(C$15:C$1004,E57*6-4)</f>
        <v>1.62604410434141e-5</v>
      </c>
      <c r="G57" s="7">
        <f t="shared" ref="G57:G88" si="13">AVERAGE(F48:F57)</f>
        <v>1.62616832312778e-5</v>
      </c>
      <c r="H57" s="7">
        <f t="shared" si="12"/>
        <v>1500.57430391057</v>
      </c>
      <c r="I57" s="7">
        <f t="shared" si="10"/>
        <v>1500.45969359596</v>
      </c>
      <c r="J57" s="6" cm="1">
        <f t="array" ref="J57">INDEX(C$15:C$1004,E57*6-3)</f>
        <v>1.62605447258101e-5</v>
      </c>
      <c r="K57" s="7">
        <f t="shared" ref="K57:K88" si="14">AVERAGE(J48:J57)</f>
        <v>1.62609256221912e-5</v>
      </c>
      <c r="L57" s="7">
        <f t="shared" si="5"/>
        <v>1500.56473577237</v>
      </c>
      <c r="M57" s="7">
        <f t="shared" si="8"/>
        <v>1500.52960499551</v>
      </c>
    </row>
    <row r="58" spans="1:13">
      <c r="A58">
        <v>1932177</v>
      </c>
      <c r="B58" t="s">
        <v>13</v>
      </c>
      <c r="C58" s="5">
        <v>1.62593914865283e-5</v>
      </c>
      <c r="E58">
        <v>44</v>
      </c>
      <c r="F58" s="6" cm="1">
        <f t="array" ref="F58">INDEX(C$15:C$1004,E58*6-4)</f>
        <v>1.6264564692392e-5</v>
      </c>
      <c r="G58" s="7">
        <f t="shared" si="13"/>
        <v>1.62622909556375e-5</v>
      </c>
      <c r="H58" s="7">
        <f t="shared" si="12"/>
        <v>1500.19385464484</v>
      </c>
      <c r="I58" s="7">
        <f t="shared" si="10"/>
        <v>1500.40361800143</v>
      </c>
      <c r="J58" s="6" cm="1">
        <f t="array" ref="J58">INDEX(C$15:C$1004,E58*6-3)</f>
        <v>1.62612886924762e-5</v>
      </c>
      <c r="K58" s="7">
        <f t="shared" si="14"/>
        <v>1.62610473125823e-5</v>
      </c>
      <c r="L58" s="7">
        <f t="shared" si="5"/>
        <v>1500.49608376299</v>
      </c>
      <c r="M58" s="7">
        <f t="shared" si="8"/>
        <v>1500.51837528155</v>
      </c>
    </row>
    <row r="59" spans="1:13">
      <c r="A59">
        <v>1932178</v>
      </c>
      <c r="B59" t="s">
        <v>15</v>
      </c>
      <c r="C59" s="5">
        <v>1.62593914865283e-5</v>
      </c>
      <c r="E59">
        <v>45</v>
      </c>
      <c r="F59" s="6" cm="1">
        <f t="array" ref="F59">INDEX(C$15:C$1004,E59*6-4)</f>
        <v>1.62612886924762e-5</v>
      </c>
      <c r="G59" s="7">
        <f t="shared" si="13"/>
        <v>1.62622909556376e-5</v>
      </c>
      <c r="H59" s="7">
        <f t="shared" si="12"/>
        <v>1500.49608376299</v>
      </c>
      <c r="I59" s="7">
        <f t="shared" si="10"/>
        <v>1500.40361800143</v>
      </c>
      <c r="J59" s="6" cm="1">
        <f t="array" ref="J59">INDEX(C$15:C$1004,E59*6-3)</f>
        <v>1.62616997840814e-5</v>
      </c>
      <c r="K59" s="7">
        <f t="shared" si="14"/>
        <v>1.62610884217428e-5</v>
      </c>
      <c r="L59" s="7">
        <f t="shared" si="5"/>
        <v>1500.45815160634</v>
      </c>
      <c r="M59" s="7">
        <f t="shared" si="8"/>
        <v>1500.51458206588</v>
      </c>
    </row>
    <row r="60" spans="1:13">
      <c r="A60">
        <v>1932179</v>
      </c>
      <c r="B60" t="s">
        <v>17</v>
      </c>
      <c r="C60" s="5">
        <v>1.89585876464843</v>
      </c>
      <c r="E60">
        <v>46</v>
      </c>
      <c r="F60" s="6" cm="1">
        <f t="array" ref="F60">INDEX(C$15:C$1004,E60*6-4)</f>
        <v>1.62605447258101e-5</v>
      </c>
      <c r="G60" s="7">
        <f t="shared" si="13"/>
        <v>1.62620075570885e-5</v>
      </c>
      <c r="H60" s="7">
        <f t="shared" si="12"/>
        <v>1500.56473577237</v>
      </c>
      <c r="I60" s="7">
        <f t="shared" si="10"/>
        <v>1500.4297661885</v>
      </c>
      <c r="J60" s="6" cm="1">
        <f t="array" ref="J60">INDEX(C$15:C$1004,E60*6-3)</f>
        <v>1.62597207236103e-5</v>
      </c>
      <c r="K60" s="7">
        <f t="shared" si="14"/>
        <v>1.62612928761518e-5</v>
      </c>
      <c r="L60" s="7">
        <f t="shared" si="5"/>
        <v>1500.64078066048</v>
      </c>
      <c r="M60" s="7">
        <f t="shared" si="8"/>
        <v>1500.49571020372</v>
      </c>
    </row>
    <row r="61" spans="1:13">
      <c r="A61">
        <v>1932180</v>
      </c>
      <c r="B61" t="s">
        <v>18</v>
      </c>
      <c r="C61" s="5">
        <v>0</v>
      </c>
      <c r="E61">
        <v>47</v>
      </c>
      <c r="F61" s="6" cm="1">
        <f t="array" ref="F61">INDEX(C$15:C$1004,E61*6-4)</f>
        <v>1.62633787113009e-5</v>
      </c>
      <c r="G61" s="7">
        <f t="shared" si="13"/>
        <v>1.6262054850813e-5</v>
      </c>
      <c r="H61" s="7">
        <f t="shared" si="12"/>
        <v>1500.30325390168</v>
      </c>
      <c r="I61" s="7">
        <f t="shared" si="10"/>
        <v>1500.42540319644</v>
      </c>
      <c r="J61" s="6" cm="1">
        <f t="array" ref="J61">INDEX(C$15:C$1004,E61*6-3)</f>
        <v>1.62624583026627e-5</v>
      </c>
      <c r="K61" s="7">
        <f t="shared" si="14"/>
        <v>1.62616899615386e-5</v>
      </c>
      <c r="L61" s="7">
        <f t="shared" si="5"/>
        <v>1500.3881667758</v>
      </c>
      <c r="M61" s="7">
        <f t="shared" si="8"/>
        <v>1500.45906582229</v>
      </c>
    </row>
    <row r="62" spans="1:13">
      <c r="A62">
        <v>1932181</v>
      </c>
      <c r="B62" t="s">
        <v>19</v>
      </c>
      <c r="C62" s="5">
        <v>1.89585876464843</v>
      </c>
      <c r="E62">
        <v>48</v>
      </c>
      <c r="F62" s="6" cm="1">
        <f t="array" ref="F62">INDEX(C$15:C$1004,E62*6-4)</f>
        <v>1.62620399350998e-5</v>
      </c>
      <c r="G62" s="7">
        <f t="shared" si="13"/>
        <v>1.62620130140567e-5</v>
      </c>
      <c r="H62" s="7">
        <f t="shared" si="12"/>
        <v>1500.42676671426</v>
      </c>
      <c r="I62" s="7">
        <f t="shared" si="10"/>
        <v>1500.42926319029</v>
      </c>
      <c r="J62" s="6" cm="1">
        <f t="array" ref="J62">INDEX(C$15:C$1004,E62*6-3)</f>
        <v>1.62624583026627e-5</v>
      </c>
      <c r="K62" s="7">
        <f t="shared" si="14"/>
        <v>1.62618069225573e-5</v>
      </c>
      <c r="L62" s="7">
        <f t="shared" si="5"/>
        <v>1500.3881667758</v>
      </c>
      <c r="M62" s="7">
        <f t="shared" si="8"/>
        <v>1500.44827412357</v>
      </c>
    </row>
    <row r="63" spans="1:13">
      <c r="A63">
        <v>1932426</v>
      </c>
      <c r="B63" t="s">
        <v>16</v>
      </c>
      <c r="C63" s="5">
        <v>9.9475983e-12</v>
      </c>
      <c r="E63">
        <v>49</v>
      </c>
      <c r="F63" s="6" cm="1">
        <f t="array" ref="F63">INDEX(C$15:C$1004,E63*6-4)</f>
        <v>1.6264564692392e-5</v>
      </c>
      <c r="G63" s="7">
        <f t="shared" si="13"/>
        <v>1.62622236530296e-5</v>
      </c>
      <c r="H63" s="7">
        <f t="shared" si="12"/>
        <v>1500.19385464484</v>
      </c>
      <c r="I63" s="7">
        <f t="shared" si="10"/>
        <v>1500.40983197719</v>
      </c>
      <c r="J63" s="6" cm="1">
        <f t="array" ref="J63">INDEX(C$15:C$1004,E63*6-3)</f>
        <v>1.62565047503449e-5</v>
      </c>
      <c r="K63" s="7">
        <f t="shared" si="14"/>
        <v>1.62610520419548e-5</v>
      </c>
      <c r="L63" s="7">
        <f t="shared" si="5"/>
        <v>1500.9376477119</v>
      </c>
      <c r="M63" s="7">
        <f t="shared" si="8"/>
        <v>1500.51793871929</v>
      </c>
    </row>
    <row r="64" spans="1:13">
      <c r="A64">
        <v>1932427</v>
      </c>
      <c r="B64" t="s">
        <v>13</v>
      </c>
      <c r="C64" s="5">
        <v>1.62624583026627e-5</v>
      </c>
      <c r="E64">
        <v>50</v>
      </c>
      <c r="F64" s="6" cm="1">
        <f t="array" ref="F64">INDEX(C$15:C$1004,E64*6-4)</f>
        <v>1.62635806191247e-5</v>
      </c>
      <c r="G64" s="7">
        <f t="shared" si="13"/>
        <v>1.62621763593051e-5</v>
      </c>
      <c r="H64" s="7">
        <f t="shared" si="12"/>
        <v>1500.28462805463</v>
      </c>
      <c r="I64" s="7">
        <f t="shared" si="10"/>
        <v>1500.41419460719</v>
      </c>
      <c r="J64" s="6" cm="1">
        <f t="array" ref="J64">INDEX(C$15:C$1004,E64*6-3)</f>
        <v>1.62612886924762e-5</v>
      </c>
      <c r="K64" s="7">
        <f t="shared" si="14"/>
        <v>1.6261090968328e-5</v>
      </c>
      <c r="L64" s="7">
        <f t="shared" si="5"/>
        <v>1500.49608376299</v>
      </c>
      <c r="M64" s="7">
        <f t="shared" si="8"/>
        <v>1500.51434673652</v>
      </c>
    </row>
    <row r="65" spans="1:13">
      <c r="A65">
        <v>1932428</v>
      </c>
      <c r="B65" t="s">
        <v>15</v>
      </c>
      <c r="C65" s="5">
        <v>1.62616997840814e-5</v>
      </c>
      <c r="E65">
        <v>51</v>
      </c>
      <c r="F65" s="6" cm="1">
        <f t="array" ref="F65">INDEX(C$15:C$1004,E65*6-4)</f>
        <v>1.62569613166851e-5</v>
      </c>
      <c r="G65" s="7">
        <f t="shared" si="13"/>
        <v>1.6261743621726e-5</v>
      </c>
      <c r="H65" s="7">
        <f t="shared" si="12"/>
        <v>1500.89549483995</v>
      </c>
      <c r="I65" s="7">
        <f t="shared" si="10"/>
        <v>1500.45413571488</v>
      </c>
      <c r="J65" s="6" cm="1">
        <f t="array" ref="J65">INDEX(C$15:C$1004,E65*6-3)</f>
        <v>1.62612886924762e-5</v>
      </c>
      <c r="K65" s="7">
        <f t="shared" si="14"/>
        <v>1.62609292601701e-5</v>
      </c>
      <c r="L65" s="7">
        <f t="shared" si="5"/>
        <v>1500.49608376299</v>
      </c>
      <c r="M65" s="7">
        <f t="shared" si="8"/>
        <v>1500.52926673059</v>
      </c>
    </row>
    <row r="66" spans="1:13">
      <c r="A66">
        <v>1932429</v>
      </c>
      <c r="B66" t="s">
        <v>17</v>
      </c>
      <c r="C66" s="5">
        <v>0.479263305664062</v>
      </c>
      <c r="E66">
        <v>52</v>
      </c>
      <c r="F66" s="6" cm="1">
        <f t="array" ref="F66">INDEX(C$15:C$1004,E66*6-4)</f>
        <v>1.62608994287438e-5</v>
      </c>
      <c r="G66" s="7">
        <f t="shared" si="13"/>
        <v>1.62618263857439e-5</v>
      </c>
      <c r="H66" s="7">
        <f t="shared" si="12"/>
        <v>1500.53200359071</v>
      </c>
      <c r="I66" s="7">
        <f t="shared" si="10"/>
        <v>1500.44649798369</v>
      </c>
      <c r="J66" s="6" cm="1">
        <f t="array" ref="J66">INDEX(C$15:C$1004,E66*6-3)</f>
        <v>1.62624583026627e-5</v>
      </c>
      <c r="K66" s="7">
        <f t="shared" si="14"/>
        <v>1.62609710969263e-5</v>
      </c>
      <c r="L66" s="7">
        <f t="shared" si="5"/>
        <v>1500.3881667758</v>
      </c>
      <c r="M66" s="7">
        <f t="shared" si="8"/>
        <v>1500.52540673675</v>
      </c>
    </row>
    <row r="67" spans="1:13">
      <c r="A67">
        <v>1932430</v>
      </c>
      <c r="B67" t="s">
        <v>18</v>
      </c>
      <c r="C67" s="5">
        <v>0</v>
      </c>
      <c r="E67">
        <v>53</v>
      </c>
      <c r="F67" s="6" cm="1">
        <f t="array" ref="F67">INDEX(C$15:C$1004,E67*6-4)</f>
        <v>1.62616543093463e-5</v>
      </c>
      <c r="G67" s="7">
        <f t="shared" si="13"/>
        <v>1.62619477123371e-5</v>
      </c>
      <c r="H67" s="7">
        <f t="shared" si="12"/>
        <v>1500.46234754703</v>
      </c>
      <c r="I67" s="7">
        <f t="shared" si="10"/>
        <v>1500.43530234733</v>
      </c>
      <c r="J67" s="6" cm="1">
        <f t="array" ref="J67">INDEX(C$15:C$1004,E67*6-3)</f>
        <v>1.62562973855529e-5</v>
      </c>
      <c r="K67" s="7">
        <f t="shared" si="14"/>
        <v>1.62605463629006e-5</v>
      </c>
      <c r="L67" s="7">
        <f t="shared" si="5"/>
        <v>1500.95679362291</v>
      </c>
      <c r="M67" s="7">
        <f t="shared" si="8"/>
        <v>1500.5646125218</v>
      </c>
    </row>
    <row r="68" spans="1:13">
      <c r="A68">
        <v>1932431</v>
      </c>
      <c r="B68" t="s">
        <v>19</v>
      </c>
      <c r="C68" s="5">
        <v>0.479263305664062</v>
      </c>
      <c r="E68">
        <v>54</v>
      </c>
      <c r="F68" s="6" cm="1">
        <f t="array" ref="F68">INDEX(C$15:C$1004,E68*6-4)</f>
        <v>1.62598880706355e-5</v>
      </c>
      <c r="G68" s="7">
        <f t="shared" si="13"/>
        <v>1.62614800501614e-5</v>
      </c>
      <c r="H68" s="7">
        <f t="shared" si="12"/>
        <v>1500.62533604183</v>
      </c>
      <c r="I68" s="7">
        <f t="shared" si="10"/>
        <v>1500.47845048703</v>
      </c>
      <c r="J68" s="6" cm="1">
        <f t="array" ref="J68">INDEX(C$15:C$1004,E68*6-3)</f>
        <v>1.62597207236103e-5</v>
      </c>
      <c r="K68" s="7">
        <f t="shared" si="14"/>
        <v>1.6260389566014e-5</v>
      </c>
      <c r="L68" s="7">
        <f t="shared" si="5"/>
        <v>1500.64078066048</v>
      </c>
      <c r="M68" s="7">
        <f t="shared" si="8"/>
        <v>1500.57908221155</v>
      </c>
    </row>
    <row r="69" spans="1:13">
      <c r="A69">
        <v>1932677</v>
      </c>
      <c r="B69" t="s">
        <v>16</v>
      </c>
      <c r="C69" s="5">
        <v>2.899014362e-11</v>
      </c>
      <c r="E69">
        <v>55</v>
      </c>
      <c r="F69" s="6" cm="1">
        <f t="array" ref="F69">INDEX(C$15:C$1004,E69*6-4)</f>
        <v>1.62605447258101e-5</v>
      </c>
      <c r="G69" s="7">
        <f t="shared" si="13"/>
        <v>1.62614056534948e-5</v>
      </c>
      <c r="H69" s="7">
        <f t="shared" si="12"/>
        <v>1500.56473577237</v>
      </c>
      <c r="I69" s="7">
        <f t="shared" si="10"/>
        <v>1500.48531568797</v>
      </c>
      <c r="J69" s="6" cm="1">
        <f t="array" ref="J69">INDEX(C$15:C$1004,E69*6-3)</f>
        <v>1.62597207236103e-5</v>
      </c>
      <c r="K69" s="7">
        <f t="shared" si="14"/>
        <v>1.62601916599669e-5</v>
      </c>
      <c r="L69" s="7">
        <f t="shared" si="5"/>
        <v>1500.64078066048</v>
      </c>
      <c r="M69" s="7">
        <f t="shared" si="8"/>
        <v>1500.59734511697</v>
      </c>
    </row>
    <row r="70" spans="1:13">
      <c r="A70">
        <v>1932678</v>
      </c>
      <c r="B70" t="s">
        <v>13</v>
      </c>
      <c r="C70" s="5">
        <v>1.62600717885652e-5</v>
      </c>
      <c r="E70">
        <v>56</v>
      </c>
      <c r="F70" s="6" cm="1">
        <f t="array" ref="F70">INDEX(C$15:C$1004,E70*6-4)</f>
        <v>1.62593914865283e-5</v>
      </c>
      <c r="G70" s="7">
        <f t="shared" si="13"/>
        <v>1.62612903295667e-5</v>
      </c>
      <c r="H70" s="7">
        <f t="shared" si="12"/>
        <v>1500.67116719691</v>
      </c>
      <c r="I70" s="7">
        <f t="shared" ref="I70:I101" si="15">AVERAGE(H61:H70)</f>
        <v>1500.49595883042</v>
      </c>
      <c r="J70" s="6" cm="1">
        <f t="array" ref="J70">INDEX(C$15:C$1004,E70*6-3)</f>
        <v>1.62620399350998e-5</v>
      </c>
      <c r="K70" s="7">
        <f t="shared" si="14"/>
        <v>1.62604235811159e-5</v>
      </c>
      <c r="L70" s="7">
        <f t="shared" si="5"/>
        <v>1500.42676671426</v>
      </c>
      <c r="M70" s="7">
        <f t="shared" si="8"/>
        <v>1500.57594372234</v>
      </c>
    </row>
    <row r="71" spans="1:13">
      <c r="A71">
        <v>1932679</v>
      </c>
      <c r="B71" t="s">
        <v>15</v>
      </c>
      <c r="C71" s="5">
        <v>1.62640535563696e-5</v>
      </c>
      <c r="E71">
        <v>57</v>
      </c>
      <c r="F71" s="6" cm="1">
        <f t="array" ref="F71">INDEX(C$15:C$1004,E71*6-4)</f>
        <v>1.62597207236103e-5</v>
      </c>
      <c r="G71" s="7">
        <f t="shared" si="13"/>
        <v>1.62609245307976e-5</v>
      </c>
      <c r="H71" s="7">
        <f t="shared" si="12"/>
        <v>1500.64078066048</v>
      </c>
      <c r="I71" s="7">
        <f t="shared" si="15"/>
        <v>1500.5297115063</v>
      </c>
      <c r="J71" s="6" cm="1">
        <f t="array" ref="J71">INDEX(C$15:C$1004,E71*6-3)</f>
        <v>1.62616997840814e-5</v>
      </c>
      <c r="K71" s="7">
        <f t="shared" si="14"/>
        <v>1.62603477292577e-5</v>
      </c>
      <c r="L71" s="7">
        <f t="shared" si="5"/>
        <v>1500.45815160634</v>
      </c>
      <c r="M71" s="7">
        <f t="shared" si="8"/>
        <v>1500.5829422054</v>
      </c>
    </row>
    <row r="72" spans="1:13">
      <c r="A72">
        <v>1932680</v>
      </c>
      <c r="B72" t="s">
        <v>17</v>
      </c>
      <c r="C72" s="5">
        <v>1.39675903320312</v>
      </c>
      <c r="E72">
        <v>58</v>
      </c>
      <c r="F72" s="6" cm="1">
        <f t="array" ref="F72">INDEX(C$15:C$1004,E72*6-4)</f>
        <v>1.62608994287438e-5</v>
      </c>
      <c r="G72" s="7">
        <f t="shared" si="13"/>
        <v>1.6260810480162e-5</v>
      </c>
      <c r="H72" s="7">
        <f t="shared" si="12"/>
        <v>1500.53200359071</v>
      </c>
      <c r="I72" s="7">
        <f t="shared" si="15"/>
        <v>1500.54023519395</v>
      </c>
      <c r="J72" s="6" cm="1">
        <f t="array" ref="J72">INDEX(C$15:C$1004,E72*6-3)</f>
        <v>1.62635806191247e-5</v>
      </c>
      <c r="K72" s="7">
        <f t="shared" si="14"/>
        <v>1.62604599609039e-5</v>
      </c>
      <c r="L72" s="7">
        <f t="shared" si="5"/>
        <v>1500.28462805463</v>
      </c>
      <c r="M72" s="7">
        <f t="shared" si="8"/>
        <v>1500.57258833328</v>
      </c>
    </row>
    <row r="73" spans="1:13">
      <c r="A73">
        <v>1932681</v>
      </c>
      <c r="B73" t="s">
        <v>18</v>
      </c>
      <c r="C73" s="5">
        <v>0</v>
      </c>
      <c r="E73">
        <v>59</v>
      </c>
      <c r="F73" s="6" cm="1">
        <f t="array" ref="F73">INDEX(C$15:C$1004,E73*6-4)</f>
        <v>1.62616543093463e-5</v>
      </c>
      <c r="G73" s="7">
        <f t="shared" si="13"/>
        <v>1.62605194418574e-5</v>
      </c>
      <c r="H73" s="7">
        <f t="shared" si="12"/>
        <v>1500.46234754703</v>
      </c>
      <c r="I73" s="7">
        <f t="shared" si="15"/>
        <v>1500.56708448417</v>
      </c>
      <c r="J73" s="6" cm="1">
        <f t="array" ref="J73">INDEX(C$15:C$1004,E73*6-3)</f>
        <v>1.62612886924762e-5</v>
      </c>
      <c r="K73" s="7">
        <f t="shared" si="14"/>
        <v>1.62609383551171e-5</v>
      </c>
      <c r="L73" s="7">
        <f t="shared" si="5"/>
        <v>1500.49608376299</v>
      </c>
      <c r="M73" s="7">
        <f t="shared" si="8"/>
        <v>1500.52843193839</v>
      </c>
    </row>
    <row r="74" spans="1:13">
      <c r="A74">
        <v>1932682</v>
      </c>
      <c r="B74" t="s">
        <v>19</v>
      </c>
      <c r="C74" s="5">
        <v>1.39675903320312</v>
      </c>
      <c r="E74">
        <v>60</v>
      </c>
      <c r="F74" s="6" cm="1">
        <f t="array" ref="F74">INDEX(C$15:C$1004,E74*6-4)</f>
        <v>1.62605447258101e-5</v>
      </c>
      <c r="G74" s="7">
        <f t="shared" si="13"/>
        <v>1.6260215852526e-5</v>
      </c>
      <c r="H74" s="7">
        <f t="shared" si="12"/>
        <v>1500.56473577237</v>
      </c>
      <c r="I74" s="7">
        <f t="shared" si="15"/>
        <v>1500.59509525594</v>
      </c>
      <c r="J74" s="6" cm="1">
        <f t="array" ref="J74">INDEX(C$15:C$1004,E74*6-3)</f>
        <v>1.62616997840814e-5</v>
      </c>
      <c r="K74" s="7">
        <f t="shared" si="14"/>
        <v>1.62609794642776e-5</v>
      </c>
      <c r="L74" s="7">
        <f t="shared" si="5"/>
        <v>1500.45815160634</v>
      </c>
      <c r="M74" s="7">
        <f t="shared" si="8"/>
        <v>1500.52463872272</v>
      </c>
    </row>
    <row r="75" spans="1:13">
      <c r="A75">
        <v>1932926</v>
      </c>
      <c r="B75" t="s">
        <v>16</v>
      </c>
      <c r="C75" s="5">
        <v>2.95585778e-12</v>
      </c>
      <c r="E75">
        <v>61</v>
      </c>
      <c r="F75" s="6" cm="1">
        <f t="array" ref="F75">INDEX(C$15:C$1004,E75*6-4)</f>
        <v>1.62640535563696e-5</v>
      </c>
      <c r="G75" s="7">
        <f t="shared" si="13"/>
        <v>1.62609250764944e-5</v>
      </c>
      <c r="H75" s="7">
        <f t="shared" si="12"/>
        <v>1500.2410017547</v>
      </c>
      <c r="I75" s="7">
        <f t="shared" si="15"/>
        <v>1500.52964594741</v>
      </c>
      <c r="J75" s="6" cm="1">
        <f t="array" ref="J75">INDEX(C$15:C$1004,E75*6-3)</f>
        <v>1.62620399350998e-5</v>
      </c>
      <c r="K75" s="7">
        <f t="shared" si="14"/>
        <v>1.626105458854e-5</v>
      </c>
      <c r="L75" s="7">
        <f t="shared" si="5"/>
        <v>1500.42676671426</v>
      </c>
      <c r="M75" s="7">
        <f t="shared" si="8"/>
        <v>1500.51770701785</v>
      </c>
    </row>
    <row r="76" spans="1:13">
      <c r="A76">
        <v>1932927</v>
      </c>
      <c r="B76" t="s">
        <v>13</v>
      </c>
      <c r="C76" s="5">
        <v>1.62612886924762e-5</v>
      </c>
      <c r="E76">
        <v>62</v>
      </c>
      <c r="F76" s="6" cm="1">
        <f t="array" ref="F76">INDEX(C$15:C$1004,E76*6-4)</f>
        <v>1.62605447258101e-5</v>
      </c>
      <c r="G76" s="7">
        <f t="shared" si="13"/>
        <v>1.6260889606201e-5</v>
      </c>
      <c r="H76" s="7">
        <f t="shared" si="12"/>
        <v>1500.56473577237</v>
      </c>
      <c r="I76" s="7">
        <f t="shared" si="15"/>
        <v>1500.53291916558</v>
      </c>
      <c r="J76" s="6" cm="1">
        <f t="array" ref="J76">INDEX(C$15:C$1004,E76*6-3)</f>
        <v>1.62624583026627e-5</v>
      </c>
      <c r="K76" s="7">
        <f t="shared" si="14"/>
        <v>1.626105458854e-5</v>
      </c>
      <c r="L76" s="7">
        <f t="shared" si="5"/>
        <v>1500.3881667758</v>
      </c>
      <c r="M76" s="7">
        <f t="shared" si="8"/>
        <v>1500.51770701785</v>
      </c>
    </row>
    <row r="77" spans="1:13">
      <c r="A77">
        <v>1932928</v>
      </c>
      <c r="B77" t="s">
        <v>15</v>
      </c>
      <c r="C77" s="5">
        <v>1.62605447258101e-5</v>
      </c>
      <c r="E77">
        <v>63</v>
      </c>
      <c r="F77" s="6" cm="1">
        <f t="array" ref="F77">INDEX(C$15:C$1004,E77*6-4)</f>
        <v>1.62616997840814e-5</v>
      </c>
      <c r="G77" s="7">
        <f t="shared" si="13"/>
        <v>1.62608941536746e-5</v>
      </c>
      <c r="H77" s="7">
        <f t="shared" si="12"/>
        <v>1500.45815160634</v>
      </c>
      <c r="I77" s="7">
        <f t="shared" si="15"/>
        <v>1500.53249957151</v>
      </c>
      <c r="J77" s="6" cm="1">
        <f t="array" ref="J77">INDEX(C$15:C$1004,E77*6-3)</f>
        <v>1.62590858963085e-5</v>
      </c>
      <c r="K77" s="7">
        <f t="shared" si="14"/>
        <v>1.62613334396155e-5</v>
      </c>
      <c r="L77" s="7">
        <f t="shared" si="5"/>
        <v>1500.69937237614</v>
      </c>
      <c r="M77" s="7">
        <f t="shared" si="8"/>
        <v>1500.49196489317</v>
      </c>
    </row>
    <row r="78" spans="1:13">
      <c r="A78">
        <v>1932929</v>
      </c>
      <c r="B78" t="s">
        <v>17</v>
      </c>
      <c r="C78" s="5">
        <v>0.142318725585937</v>
      </c>
      <c r="E78">
        <v>64</v>
      </c>
      <c r="F78" s="6" cm="1">
        <f t="array" ref="F78">INDEX(C$15:C$1004,E78*6-4)</f>
        <v>1.62597207236103e-5</v>
      </c>
      <c r="G78" s="7">
        <f t="shared" si="13"/>
        <v>1.6260877418972e-5</v>
      </c>
      <c r="H78" s="7">
        <f t="shared" si="12"/>
        <v>1500.64078066048</v>
      </c>
      <c r="I78" s="7">
        <f t="shared" si="15"/>
        <v>1500.53404403338</v>
      </c>
      <c r="J78" s="6" cm="1">
        <f t="array" ref="J78">INDEX(C$15:C$1004,E78*6-3)</f>
        <v>1.62624583026627e-5</v>
      </c>
      <c r="K78" s="7">
        <f t="shared" si="14"/>
        <v>1.62616071975208e-5</v>
      </c>
      <c r="L78" s="7">
        <f t="shared" si="5"/>
        <v>1500.3881667758</v>
      </c>
      <c r="M78" s="7">
        <f t="shared" si="8"/>
        <v>1500.46670350471</v>
      </c>
    </row>
    <row r="79" spans="1:13">
      <c r="A79">
        <v>1932930</v>
      </c>
      <c r="B79" t="s">
        <v>18</v>
      </c>
      <c r="C79" s="5">
        <v>0</v>
      </c>
      <c r="E79">
        <v>65</v>
      </c>
      <c r="F79" s="6" cm="1">
        <f t="array" ref="F79">INDEX(C$15:C$1004,E79*6-4)</f>
        <v>1.62635806191247e-5</v>
      </c>
      <c r="G79" s="7">
        <f t="shared" si="13"/>
        <v>1.62611810083035e-5</v>
      </c>
      <c r="H79" s="7">
        <f t="shared" si="12"/>
        <v>1500.28462805463</v>
      </c>
      <c r="I79" s="7">
        <f t="shared" si="15"/>
        <v>1500.5060332616</v>
      </c>
      <c r="J79" s="6" cm="1">
        <f t="array" ref="J79">INDEX(C$15:C$1004,E79*6-3)</f>
        <v>1.62612886924762e-5</v>
      </c>
      <c r="K79" s="7">
        <f t="shared" si="14"/>
        <v>1.62617639944073e-5</v>
      </c>
      <c r="L79" s="7">
        <f t="shared" ref="L79:L142" si="16">24.4/J79/1000</f>
        <v>1500.49608376299</v>
      </c>
      <c r="M79" s="7">
        <f t="shared" si="8"/>
        <v>1500.45223381496</v>
      </c>
    </row>
    <row r="80" spans="1:13">
      <c r="A80">
        <v>1932931</v>
      </c>
      <c r="B80" t="s">
        <v>19</v>
      </c>
      <c r="C80" s="5">
        <v>0.142318725585937</v>
      </c>
      <c r="E80">
        <v>66</v>
      </c>
      <c r="F80" s="6" cm="1">
        <f t="array" ref="F80">INDEX(C$15:C$1004,E80*6-4)</f>
        <v>1.62620399350998e-5</v>
      </c>
      <c r="G80" s="7">
        <f t="shared" si="13"/>
        <v>1.62614458531606e-5</v>
      </c>
      <c r="H80" s="7">
        <f t="shared" ref="H80:H97" si="17">24.4/F80/1000</f>
        <v>1500.42676671426</v>
      </c>
      <c r="I80" s="7">
        <f t="shared" si="15"/>
        <v>1500.48159321334</v>
      </c>
      <c r="J80" s="6" cm="1">
        <f t="array" ref="J80">INDEX(C$15:C$1004,E80*6-3)</f>
        <v>1.62608994287438e-5</v>
      </c>
      <c r="K80" s="7">
        <f t="shared" si="14"/>
        <v>1.62616499437717e-5</v>
      </c>
      <c r="L80" s="7">
        <f t="shared" si="16"/>
        <v>1500.53200359071</v>
      </c>
      <c r="M80" s="7">
        <f t="shared" si="8"/>
        <v>1500.4627575026</v>
      </c>
    </row>
    <row r="81" spans="1:13">
      <c r="A81">
        <v>1933177</v>
      </c>
      <c r="B81" t="s">
        <v>16</v>
      </c>
      <c r="C81" s="5">
        <v>1.222133506e-11</v>
      </c>
      <c r="E81">
        <v>67</v>
      </c>
      <c r="F81" s="6" cm="1">
        <f t="array" ref="F81">INDEX(C$15:C$1004,E81*6-4)</f>
        <v>1.62584874487947e-5</v>
      </c>
      <c r="G81" s="7">
        <f t="shared" si="13"/>
        <v>1.62613225256791e-5</v>
      </c>
      <c r="H81" s="7">
        <f t="shared" si="17"/>
        <v>1500.7546105901</v>
      </c>
      <c r="I81" s="7">
        <f t="shared" si="15"/>
        <v>1500.4929762063</v>
      </c>
      <c r="J81" s="6" cm="1">
        <f t="array" ref="J81">INDEX(C$15:C$1004,E81*6-3)</f>
        <v>1.62581982294796e-5</v>
      </c>
      <c r="K81" s="7">
        <f t="shared" si="14"/>
        <v>1.62612997883116e-5</v>
      </c>
      <c r="L81" s="7">
        <f t="shared" si="16"/>
        <v>1500.78130771942</v>
      </c>
      <c r="M81" s="7">
        <f t="shared" si="8"/>
        <v>1500.49507311391</v>
      </c>
    </row>
    <row r="82" spans="1:13">
      <c r="A82">
        <v>1933178</v>
      </c>
      <c r="B82" t="s">
        <v>13</v>
      </c>
      <c r="C82" s="5">
        <v>1.62616543093463e-5</v>
      </c>
      <c r="E82">
        <v>68</v>
      </c>
      <c r="F82" s="6" cm="1">
        <f t="array" ref="F82">INDEX(C$15:C$1004,E82*6-4)</f>
        <v>1.62584874487947e-5</v>
      </c>
      <c r="G82" s="7">
        <f t="shared" si="13"/>
        <v>1.62610813276842e-5</v>
      </c>
      <c r="H82" s="7">
        <f t="shared" si="17"/>
        <v>1500.7546105901</v>
      </c>
      <c r="I82" s="7">
        <f t="shared" si="15"/>
        <v>1500.51523690624</v>
      </c>
      <c r="J82" s="6" cm="1">
        <f t="array" ref="J82">INDEX(C$15:C$1004,E82*6-3)</f>
        <v>1.62616543093463e-5</v>
      </c>
      <c r="K82" s="7">
        <f t="shared" si="14"/>
        <v>1.62611071573337e-5</v>
      </c>
      <c r="L82" s="7">
        <f t="shared" si="16"/>
        <v>1500.46234754703</v>
      </c>
      <c r="M82" s="7">
        <f t="shared" si="8"/>
        <v>1500.51284506315</v>
      </c>
    </row>
    <row r="83" spans="1:13">
      <c r="A83">
        <v>1933179</v>
      </c>
      <c r="B83" t="s">
        <v>15</v>
      </c>
      <c r="C83" s="5">
        <v>1.62602045747917e-5</v>
      </c>
      <c r="E83">
        <v>69</v>
      </c>
      <c r="F83" s="6" cm="1">
        <f t="array" ref="F83">INDEX(C$15:C$1004,E83*6-4)</f>
        <v>1.62620399350998e-5</v>
      </c>
      <c r="G83" s="7">
        <f t="shared" si="13"/>
        <v>1.62611198902595e-5</v>
      </c>
      <c r="H83" s="7">
        <f t="shared" si="17"/>
        <v>1500.42676671426</v>
      </c>
      <c r="I83" s="7">
        <f t="shared" si="15"/>
        <v>1500.51167882296</v>
      </c>
      <c r="J83" s="6" cm="1">
        <f t="array" ref="J83">INDEX(C$15:C$1004,E83*6-3)</f>
        <v>1.62581982294796e-5</v>
      </c>
      <c r="K83" s="7">
        <f t="shared" si="14"/>
        <v>1.62607981110341e-5</v>
      </c>
      <c r="L83" s="7">
        <f t="shared" si="16"/>
        <v>1500.78130771942</v>
      </c>
      <c r="M83" s="7">
        <f t="shared" si="8"/>
        <v>1500.54136745879</v>
      </c>
    </row>
    <row r="84" spans="1:13">
      <c r="A84">
        <v>1933180</v>
      </c>
      <c r="B84" t="s">
        <v>17</v>
      </c>
      <c r="C84" s="5">
        <v>0.588912963867187</v>
      </c>
      <c r="E84">
        <v>70</v>
      </c>
      <c r="F84" s="6" cm="1">
        <f t="array" ref="F84">INDEX(C$15:C$1004,E84*6-4)</f>
        <v>1.62597207236103e-5</v>
      </c>
      <c r="G84" s="7">
        <f t="shared" si="13"/>
        <v>1.62610374900395e-5</v>
      </c>
      <c r="H84" s="7">
        <f t="shared" si="17"/>
        <v>1500.64078066048</v>
      </c>
      <c r="I84" s="7">
        <f t="shared" si="15"/>
        <v>1500.51928331177</v>
      </c>
      <c r="J84" s="6" cm="1">
        <f t="array" ref="J84">INDEX(C$15:C$1004,E84*6-3)</f>
        <v>1.62616997840814e-5</v>
      </c>
      <c r="K84" s="7">
        <f t="shared" si="14"/>
        <v>1.62607981110341e-5</v>
      </c>
      <c r="L84" s="7">
        <f t="shared" si="16"/>
        <v>1500.45815160634</v>
      </c>
      <c r="M84" s="7">
        <f t="shared" si="8"/>
        <v>1500.54136745879</v>
      </c>
    </row>
    <row r="85" spans="1:13">
      <c r="A85">
        <v>1933181</v>
      </c>
      <c r="B85" t="s">
        <v>18</v>
      </c>
      <c r="C85" s="5">
        <v>0</v>
      </c>
      <c r="E85">
        <v>71</v>
      </c>
      <c r="F85" s="6" cm="1">
        <f t="array" ref="F85">INDEX(C$15:C$1004,E85*6-4)</f>
        <v>1.62616997840814e-5</v>
      </c>
      <c r="G85" s="7">
        <f t="shared" si="13"/>
        <v>1.62608021128107e-5</v>
      </c>
      <c r="H85" s="7">
        <f t="shared" si="17"/>
        <v>1500.45815160634</v>
      </c>
      <c r="I85" s="7">
        <f t="shared" si="15"/>
        <v>1500.54099829694</v>
      </c>
      <c r="J85" s="6" cm="1">
        <f t="array" ref="J85">INDEX(C$15:C$1004,E85*6-3)</f>
        <v>1.62627184181474e-5</v>
      </c>
      <c r="K85" s="7">
        <f t="shared" si="14"/>
        <v>1.62608659593388e-5</v>
      </c>
      <c r="L85" s="7">
        <f t="shared" si="16"/>
        <v>1500.36416868488</v>
      </c>
      <c r="M85" s="7">
        <f t="shared" si="8"/>
        <v>1500.53510765585</v>
      </c>
    </row>
    <row r="86" spans="1:13">
      <c r="A86">
        <v>1933181</v>
      </c>
      <c r="B86" t="s">
        <v>19</v>
      </c>
      <c r="C86" s="5">
        <v>0.588912963867187</v>
      </c>
      <c r="E86">
        <v>72</v>
      </c>
      <c r="F86" s="6" cm="1">
        <f t="array" ref="F86">INDEX(C$15:C$1004,E86*6-4)</f>
        <v>1.62620399350998e-5</v>
      </c>
      <c r="G86" s="7">
        <f t="shared" si="13"/>
        <v>1.62609516337397e-5</v>
      </c>
      <c r="H86" s="7">
        <f t="shared" si="17"/>
        <v>1500.42676671426</v>
      </c>
      <c r="I86" s="7">
        <f t="shared" si="15"/>
        <v>1500.52720139113</v>
      </c>
      <c r="J86" s="6" cm="1">
        <f t="array" ref="J86">INDEX(C$15:C$1004,E86*6-3)</f>
        <v>1.62620399350998e-5</v>
      </c>
      <c r="K86" s="7">
        <f t="shared" si="14"/>
        <v>1.62608241225825e-5</v>
      </c>
      <c r="L86" s="7">
        <f t="shared" si="16"/>
        <v>1500.42676671426</v>
      </c>
      <c r="M86" s="7">
        <f t="shared" si="8"/>
        <v>1500.5389676497</v>
      </c>
    </row>
    <row r="87" spans="1:13">
      <c r="A87">
        <v>1933426</v>
      </c>
      <c r="B87" t="s">
        <v>16</v>
      </c>
      <c r="C87" s="5">
        <v>9.37347977e-11</v>
      </c>
      <c r="E87">
        <v>73</v>
      </c>
      <c r="F87" s="6" cm="1">
        <f t="array" ref="F87">INDEX(C$15:C$1004,E87*6-4)</f>
        <v>1.62600717885652e-5</v>
      </c>
      <c r="G87" s="7">
        <f t="shared" si="13"/>
        <v>1.62607888341881e-5</v>
      </c>
      <c r="H87" s="7">
        <f t="shared" si="17"/>
        <v>1500.60838090267</v>
      </c>
      <c r="I87" s="7">
        <f t="shared" si="15"/>
        <v>1500.54222432076</v>
      </c>
      <c r="J87" s="6" cm="1">
        <f t="array" ref="J87">INDEX(C$15:C$1004,E87*6-3)</f>
        <v>1.62629057740559e-5</v>
      </c>
      <c r="K87" s="7">
        <f t="shared" si="14"/>
        <v>1.62612061103573e-5</v>
      </c>
      <c r="L87" s="7">
        <f t="shared" si="16"/>
        <v>1500.34688382227</v>
      </c>
      <c r="M87" s="7">
        <f t="shared" si="8"/>
        <v>1500.50371879431</v>
      </c>
    </row>
    <row r="88" spans="1:13">
      <c r="A88">
        <v>1933427</v>
      </c>
      <c r="B88" t="s">
        <v>13</v>
      </c>
      <c r="C88" s="5">
        <v>1.62612886924762e-5</v>
      </c>
      <c r="E88">
        <v>74</v>
      </c>
      <c r="F88" s="6" cm="1">
        <f t="array" ref="F88">INDEX(C$15:C$1004,E88*6-4)</f>
        <v>1.62640535563696e-5</v>
      </c>
      <c r="G88" s="7">
        <f t="shared" si="13"/>
        <v>1.6261222117464e-5</v>
      </c>
      <c r="H88" s="7">
        <f t="shared" si="17"/>
        <v>1500.2410017547</v>
      </c>
      <c r="I88" s="7">
        <f t="shared" si="15"/>
        <v>1500.50224643018</v>
      </c>
      <c r="J88" s="6" cm="1">
        <f t="array" ref="J88">INDEX(C$15:C$1004,E88*6-3)</f>
        <v>1.62608994287438e-5</v>
      </c>
      <c r="K88" s="7">
        <f t="shared" si="14"/>
        <v>1.62610502229654e-5</v>
      </c>
      <c r="L88" s="7">
        <f t="shared" si="16"/>
        <v>1500.53200359071</v>
      </c>
      <c r="M88" s="7">
        <f t="shared" ref="M88:M151" si="18">AVERAGE(L79:L88)</f>
        <v>1500.5181024758</v>
      </c>
    </row>
    <row r="89" spans="1:13">
      <c r="A89">
        <v>1933428</v>
      </c>
      <c r="B89" t="s">
        <v>15</v>
      </c>
      <c r="C89" s="5">
        <v>1.62608994287438e-5</v>
      </c>
      <c r="E89">
        <v>75</v>
      </c>
      <c r="F89" s="6" cm="1">
        <f t="array" ref="F89">INDEX(C$15:C$1004,E89*6-4)</f>
        <v>1.62604410434141e-5</v>
      </c>
      <c r="G89" s="7">
        <f t="shared" ref="G89:G120" si="19">AVERAGE(F80:F89)</f>
        <v>1.62609081598929e-5</v>
      </c>
      <c r="H89" s="7">
        <f t="shared" si="17"/>
        <v>1500.57430391057</v>
      </c>
      <c r="I89" s="7">
        <f t="shared" si="15"/>
        <v>1500.53121401578</v>
      </c>
      <c r="J89" s="6" cm="1">
        <f t="array" ref="J89">INDEX(C$15:C$1004,E89*6-3)</f>
        <v>1.62579272000584e-5</v>
      </c>
      <c r="K89" s="7">
        <f t="shared" ref="K89:K120" si="20">AVERAGE(J80:J89)</f>
        <v>1.62607140737236e-5</v>
      </c>
      <c r="L89" s="7">
        <f t="shared" si="16"/>
        <v>1500.80632664614</v>
      </c>
      <c r="M89" s="7">
        <f t="shared" si="18"/>
        <v>1500.54912676412</v>
      </c>
    </row>
    <row r="90" spans="1:13">
      <c r="A90">
        <v>1933429</v>
      </c>
      <c r="B90" t="s">
        <v>17</v>
      </c>
      <c r="C90" s="5">
        <v>4.51673889160156</v>
      </c>
      <c r="E90">
        <v>76</v>
      </c>
      <c r="F90" s="6" cm="1">
        <f t="array" ref="F90">INDEX(C$15:C$1004,E90*6-4)</f>
        <v>1.62616997840814e-5</v>
      </c>
      <c r="G90" s="7">
        <f t="shared" si="19"/>
        <v>1.62608741447911e-5</v>
      </c>
      <c r="H90" s="7">
        <f t="shared" si="17"/>
        <v>1500.45815160634</v>
      </c>
      <c r="I90" s="7">
        <f t="shared" si="15"/>
        <v>1500.53435250498</v>
      </c>
      <c r="J90" s="6" cm="1">
        <f t="array" ref="J90">INDEX(C$15:C$1004,E90*6-3)</f>
        <v>1.62621381605276e-5</v>
      </c>
      <c r="K90" s="7">
        <f t="shared" si="20"/>
        <v>1.6260837946902e-5</v>
      </c>
      <c r="L90" s="7">
        <f t="shared" si="16"/>
        <v>1500.41770394161</v>
      </c>
      <c r="M90" s="7">
        <f t="shared" si="18"/>
        <v>1500.53769679921</v>
      </c>
    </row>
    <row r="91" spans="1:13">
      <c r="A91">
        <v>1933430</v>
      </c>
      <c r="B91" t="s">
        <v>18</v>
      </c>
      <c r="C91" s="5">
        <v>0</v>
      </c>
      <c r="E91">
        <v>77</v>
      </c>
      <c r="F91" s="6" cm="1">
        <f t="array" ref="F91">INDEX(C$15:C$1004,E91*6-4)</f>
        <v>1.62588039529509e-5</v>
      </c>
      <c r="G91" s="7">
        <f t="shared" si="19"/>
        <v>1.62609057952067e-5</v>
      </c>
      <c r="H91" s="7">
        <f t="shared" si="17"/>
        <v>1500.72539595211</v>
      </c>
      <c r="I91" s="7">
        <f t="shared" si="15"/>
        <v>1500.53143104118</v>
      </c>
      <c r="J91" s="6" cm="1">
        <f t="array" ref="J91">INDEX(C$15:C$1004,E91*6-3)</f>
        <v>1.62640535563696e-5</v>
      </c>
      <c r="K91" s="7">
        <f t="shared" si="20"/>
        <v>1.6261423479591e-5</v>
      </c>
      <c r="L91" s="7">
        <f t="shared" si="16"/>
        <v>1500.2410017547</v>
      </c>
      <c r="M91" s="7">
        <f t="shared" si="18"/>
        <v>1500.48366620274</v>
      </c>
    </row>
    <row r="92" spans="1:13">
      <c r="A92">
        <v>1933431</v>
      </c>
      <c r="B92" t="s">
        <v>19</v>
      </c>
      <c r="C92" s="5">
        <v>4.51673889160156</v>
      </c>
      <c r="E92">
        <v>78</v>
      </c>
      <c r="F92" s="6" cm="1">
        <f t="array" ref="F92">INDEX(C$15:C$1004,E92*6-4)</f>
        <v>1.62635806191247e-5</v>
      </c>
      <c r="G92" s="7">
        <f t="shared" si="19"/>
        <v>1.62614151122397e-5</v>
      </c>
      <c r="H92" s="7">
        <f t="shared" si="17"/>
        <v>1500.28462805463</v>
      </c>
      <c r="I92" s="7">
        <f t="shared" si="15"/>
        <v>1500.48443278764</v>
      </c>
      <c r="J92" s="6" cm="1">
        <f t="array" ref="J92">INDEX(C$15:C$1004,E92*6-3)</f>
        <v>1.62624583026627e-5</v>
      </c>
      <c r="K92" s="7">
        <f t="shared" si="20"/>
        <v>1.62615038789226e-5</v>
      </c>
      <c r="L92" s="7">
        <f t="shared" si="16"/>
        <v>1500.3881667758</v>
      </c>
      <c r="M92" s="7">
        <f t="shared" si="18"/>
        <v>1500.47624812561</v>
      </c>
    </row>
    <row r="93" spans="1:13">
      <c r="A93">
        <v>1933677</v>
      </c>
      <c r="B93" t="s">
        <v>16</v>
      </c>
      <c r="C93" s="5">
        <v>9.9475983e-12</v>
      </c>
      <c r="E93">
        <v>79</v>
      </c>
      <c r="F93" s="6" cm="1">
        <f t="array" ref="F93">INDEX(C$15:C$1004,E93*6-4)</f>
        <v>1.62608994287438e-5</v>
      </c>
      <c r="G93" s="7">
        <f t="shared" si="19"/>
        <v>1.62613010616041e-5</v>
      </c>
      <c r="H93" s="7">
        <f t="shared" si="17"/>
        <v>1500.53200359071</v>
      </c>
      <c r="I93" s="7">
        <f t="shared" si="15"/>
        <v>1500.49495647528</v>
      </c>
      <c r="J93" s="6" cm="1">
        <f t="array" ref="J93">INDEX(C$15:C$1004,E93*6-3)</f>
        <v>1.62612886924762e-5</v>
      </c>
      <c r="K93" s="7">
        <f t="shared" si="20"/>
        <v>1.62618129252223e-5</v>
      </c>
      <c r="L93" s="7">
        <f t="shared" si="16"/>
        <v>1500.49608376299</v>
      </c>
      <c r="M93" s="7">
        <f t="shared" si="18"/>
        <v>1500.44772572997</v>
      </c>
    </row>
    <row r="94" spans="1:13">
      <c r="A94">
        <v>1933678</v>
      </c>
      <c r="B94" t="s">
        <v>13</v>
      </c>
      <c r="C94" s="5">
        <v>1.62593914865283e-5</v>
      </c>
      <c r="E94">
        <v>80</v>
      </c>
      <c r="F94" s="6" cm="1">
        <f t="array" ref="F94">INDEX(C$15:C$1004,E94*6-4)</f>
        <v>1.62602045747917e-5</v>
      </c>
      <c r="G94" s="7">
        <f t="shared" si="19"/>
        <v>1.62613494467223e-5</v>
      </c>
      <c r="H94" s="7">
        <f t="shared" si="17"/>
        <v>1500.59612643665</v>
      </c>
      <c r="I94" s="7">
        <f t="shared" si="15"/>
        <v>1500.4904910529</v>
      </c>
      <c r="J94" s="6" cm="1">
        <f t="array" ref="J94">INDEX(C$15:C$1004,E94*6-3)</f>
        <v>1.62608994287438e-5</v>
      </c>
      <c r="K94" s="7">
        <f t="shared" si="20"/>
        <v>1.62617328896885e-5</v>
      </c>
      <c r="L94" s="7">
        <f t="shared" si="16"/>
        <v>1500.53200359071</v>
      </c>
      <c r="M94" s="7">
        <f t="shared" si="18"/>
        <v>1500.45511092841</v>
      </c>
    </row>
    <row r="95" spans="1:13">
      <c r="A95">
        <v>1933679</v>
      </c>
      <c r="B95" t="s">
        <v>15</v>
      </c>
      <c r="C95" s="5">
        <v>1.62605447258101e-5</v>
      </c>
      <c r="E95">
        <v>81</v>
      </c>
      <c r="F95" s="6" cm="1">
        <f t="array" ref="F95">INDEX(C$15:C$1004,E95*6-4)</f>
        <v>1.62612886924762e-5</v>
      </c>
      <c r="G95" s="7">
        <f t="shared" si="19"/>
        <v>1.62613083375617e-5</v>
      </c>
      <c r="H95" s="7">
        <f t="shared" si="17"/>
        <v>1500.49608376299</v>
      </c>
      <c r="I95" s="7">
        <f t="shared" si="15"/>
        <v>1500.49428426856</v>
      </c>
      <c r="J95" s="6" cm="1">
        <f t="array" ref="J95">INDEX(C$15:C$1004,E95*6-3)</f>
        <v>1.62635806191247e-5</v>
      </c>
      <c r="K95" s="7">
        <f t="shared" si="20"/>
        <v>1.62618191097862e-5</v>
      </c>
      <c r="L95" s="7">
        <f t="shared" si="16"/>
        <v>1500.28462805463</v>
      </c>
      <c r="M95" s="7">
        <f t="shared" si="18"/>
        <v>1500.44715686538</v>
      </c>
    </row>
    <row r="96" spans="1:13">
      <c r="A96">
        <v>1933680</v>
      </c>
      <c r="B96" t="s">
        <v>17</v>
      </c>
      <c r="C96" s="5">
        <v>0.479263305664062</v>
      </c>
      <c r="E96">
        <v>82</v>
      </c>
      <c r="F96" s="6" cm="1">
        <f t="array" ref="F96">INDEX(C$15:C$1004,E96*6-4)</f>
        <v>1.62631422426784e-5</v>
      </c>
      <c r="G96" s="7">
        <f t="shared" si="19"/>
        <v>1.62614185683196e-5</v>
      </c>
      <c r="H96" s="7">
        <f t="shared" si="17"/>
        <v>1500.32506854478</v>
      </c>
      <c r="I96" s="7">
        <f t="shared" si="15"/>
        <v>1500.48411445162</v>
      </c>
      <c r="J96" s="6" cm="1">
        <f t="array" ref="J96">INDEX(C$15:C$1004,E96*6-3)</f>
        <v>1.62608994287438e-5</v>
      </c>
      <c r="K96" s="7">
        <f t="shared" si="20"/>
        <v>1.62617050591506e-5</v>
      </c>
      <c r="L96" s="7">
        <f t="shared" si="16"/>
        <v>1500.53200359071</v>
      </c>
      <c r="M96" s="7">
        <f t="shared" si="18"/>
        <v>1500.45768055303</v>
      </c>
    </row>
    <row r="97" spans="1:13">
      <c r="A97">
        <v>1933681</v>
      </c>
      <c r="B97" t="s">
        <v>18</v>
      </c>
      <c r="C97" s="5">
        <v>0</v>
      </c>
      <c r="E97">
        <v>83</v>
      </c>
      <c r="F97" s="6" cm="1">
        <f t="array" ref="F97">INDEX(C$15:C$1004,E97*6-4)</f>
        <v>1.62640535563696e-5</v>
      </c>
      <c r="G97" s="7">
        <f t="shared" si="19"/>
        <v>1.62618167451e-5</v>
      </c>
      <c r="H97" s="7">
        <f t="shared" si="17"/>
        <v>1500.2410017547</v>
      </c>
      <c r="I97" s="7">
        <f t="shared" si="15"/>
        <v>1500.44737653682</v>
      </c>
      <c r="J97" s="6" cm="1">
        <f t="array" ref="J97">INDEX(C$15:C$1004,E97*6-3)</f>
        <v>1.62605447258101e-5</v>
      </c>
      <c r="K97" s="7">
        <f t="shared" si="20"/>
        <v>1.62614689543261e-5</v>
      </c>
      <c r="L97" s="7">
        <f t="shared" si="16"/>
        <v>1500.56473577237</v>
      </c>
      <c r="M97" s="7">
        <f t="shared" si="18"/>
        <v>1500.47946574804</v>
      </c>
    </row>
    <row r="98" spans="1:13">
      <c r="A98">
        <v>1933682</v>
      </c>
      <c r="B98" t="s">
        <v>19</v>
      </c>
      <c r="C98" s="5">
        <v>0.479263305664062</v>
      </c>
      <c r="E98">
        <v>84</v>
      </c>
      <c r="F98" s="6" cm="1">
        <f t="array" ref="F98">INDEX(C$15:C$1004,E98*6-4)</f>
        <v>1.62608994287438e-5</v>
      </c>
      <c r="G98" s="7">
        <f t="shared" si="19"/>
        <v>1.62615013323375e-5</v>
      </c>
      <c r="H98" s="7">
        <f t="shared" ref="H98:H129" si="21">24.4/F98/1000</f>
        <v>1500.53200359071</v>
      </c>
      <c r="I98" s="7">
        <f t="shared" si="15"/>
        <v>1500.47647672042</v>
      </c>
      <c r="J98" s="6" cm="1">
        <f t="array" ref="J98">INDEX(C$15:C$1004,E98*6-3)</f>
        <v>1.62640535563696e-5</v>
      </c>
      <c r="K98" s="7">
        <f t="shared" si="20"/>
        <v>1.62617843670886e-5</v>
      </c>
      <c r="L98" s="7">
        <f t="shared" si="16"/>
        <v>1500.2410017547</v>
      </c>
      <c r="M98" s="7">
        <f t="shared" si="18"/>
        <v>1500.45036556444</v>
      </c>
    </row>
    <row r="99" spans="1:13">
      <c r="A99">
        <v>1933926</v>
      </c>
      <c r="B99" t="s">
        <v>16</v>
      </c>
      <c r="C99" s="5">
        <v>7.78754838e-12</v>
      </c>
      <c r="E99">
        <v>85</v>
      </c>
      <c r="F99" s="6" cm="1">
        <f t="array" ref="F99">INDEX(C$15:C$1004,E99*6-4)</f>
        <v>1.62616997840814e-5</v>
      </c>
      <c r="G99" s="7">
        <f t="shared" si="19"/>
        <v>1.62616272064042e-5</v>
      </c>
      <c r="H99" s="7">
        <f t="shared" si="21"/>
        <v>1500.45815160634</v>
      </c>
      <c r="I99" s="7">
        <f t="shared" si="15"/>
        <v>1500.46486149</v>
      </c>
      <c r="J99" s="6" cm="1">
        <f t="array" ref="J99">INDEX(C$15:C$1004,E99*6-3)</f>
        <v>1.62629057740559e-5</v>
      </c>
      <c r="K99" s="7">
        <f t="shared" si="20"/>
        <v>1.62622822244884e-5</v>
      </c>
      <c r="L99" s="7">
        <f t="shared" si="16"/>
        <v>1500.34688382227</v>
      </c>
      <c r="M99" s="7">
        <f t="shared" si="18"/>
        <v>1500.40442128205</v>
      </c>
    </row>
    <row r="100" spans="1:13">
      <c r="A100">
        <v>1933927</v>
      </c>
      <c r="B100" t="s">
        <v>13</v>
      </c>
      <c r="C100" s="5">
        <v>1.62612886924762e-5</v>
      </c>
      <c r="E100">
        <v>86</v>
      </c>
      <c r="F100" s="6" cm="1">
        <f t="array" ref="F100">INDEX(C$15:C$1004,E100*6-4)</f>
        <v>1.62635806191247e-5</v>
      </c>
      <c r="G100" s="7">
        <f t="shared" si="19"/>
        <v>1.62618152899085e-5</v>
      </c>
      <c r="H100" s="7">
        <f t="shared" si="21"/>
        <v>1500.28462805463</v>
      </c>
      <c r="I100" s="7">
        <f t="shared" si="15"/>
        <v>1500.44750913483</v>
      </c>
      <c r="J100" s="6" cm="1">
        <f t="array" ref="J100">INDEX(C$15:C$1004,E100*6-3)</f>
        <v>1.62605447258101e-5</v>
      </c>
      <c r="K100" s="7">
        <f t="shared" si="20"/>
        <v>1.62621228810166e-5</v>
      </c>
      <c r="L100" s="7">
        <f t="shared" si="16"/>
        <v>1500.56473577237</v>
      </c>
      <c r="M100" s="7">
        <f t="shared" si="18"/>
        <v>1500.41912446513</v>
      </c>
    </row>
    <row r="101" spans="1:13">
      <c r="A101">
        <v>1933928</v>
      </c>
      <c r="B101" t="s">
        <v>15</v>
      </c>
      <c r="C101" s="5">
        <v>1.62605447258101e-5</v>
      </c>
      <c r="E101">
        <v>87</v>
      </c>
      <c r="F101" s="6" cm="1">
        <f t="array" ref="F101">INDEX(C$15:C$1004,E101*6-4)</f>
        <v>1.62612886924762e-5</v>
      </c>
      <c r="G101" s="7">
        <f t="shared" si="19"/>
        <v>1.6262063763861e-5</v>
      </c>
      <c r="H101" s="7">
        <f t="shared" si="21"/>
        <v>1500.49608376299</v>
      </c>
      <c r="I101" s="7">
        <f t="shared" si="15"/>
        <v>1500.42457791591</v>
      </c>
      <c r="J101" s="6" cm="1">
        <f t="array" ref="J101">INDEX(C$15:C$1004,E101*6-3)</f>
        <v>1.62608994287438e-5</v>
      </c>
      <c r="K101" s="7">
        <f t="shared" si="20"/>
        <v>1.62618074682541e-5</v>
      </c>
      <c r="L101" s="7">
        <f t="shared" si="16"/>
        <v>1500.53200359071</v>
      </c>
      <c r="M101" s="7">
        <f t="shared" si="18"/>
        <v>1500.44822464873</v>
      </c>
    </row>
    <row r="102" spans="1:13">
      <c r="A102">
        <v>1933929</v>
      </c>
      <c r="B102" t="s">
        <v>17</v>
      </c>
      <c r="C102" s="5">
        <v>0.375244140625</v>
      </c>
      <c r="E102">
        <v>88</v>
      </c>
      <c r="F102" s="6" cm="1">
        <f t="array" ref="F102">INDEX(C$15:C$1004,E102*6-4)</f>
        <v>1.62579272000584e-5</v>
      </c>
      <c r="G102" s="7">
        <f t="shared" si="19"/>
        <v>1.62614984219544e-5</v>
      </c>
      <c r="H102" s="7">
        <f t="shared" si="21"/>
        <v>1500.80632664614</v>
      </c>
      <c r="I102" s="7">
        <f t="shared" ref="I102:I133" si="22">AVERAGE(H93:H102)</f>
        <v>1500.47674777507</v>
      </c>
      <c r="J102" s="6" cm="1">
        <f t="array" ref="J102">INDEX(C$15:C$1004,E102*6-3)</f>
        <v>1.62608994287438e-5</v>
      </c>
      <c r="K102" s="7">
        <f t="shared" si="20"/>
        <v>1.62616515808622e-5</v>
      </c>
      <c r="L102" s="7">
        <f t="shared" si="16"/>
        <v>1500.53200359071</v>
      </c>
      <c r="M102" s="7">
        <f t="shared" si="18"/>
        <v>1500.46260833022</v>
      </c>
    </row>
    <row r="103" spans="1:13">
      <c r="A103">
        <v>1933930</v>
      </c>
      <c r="B103" t="s">
        <v>18</v>
      </c>
      <c r="C103" s="5">
        <v>0</v>
      </c>
      <c r="E103">
        <v>89</v>
      </c>
      <c r="F103" s="6" cm="1">
        <f t="array" ref="F103">INDEX(C$15:C$1004,E103*6-4)</f>
        <v>1.62600717885652e-5</v>
      </c>
      <c r="G103" s="7">
        <f t="shared" si="19"/>
        <v>1.62614156579366e-5</v>
      </c>
      <c r="H103" s="7">
        <f t="shared" si="21"/>
        <v>1500.60838090267</v>
      </c>
      <c r="I103" s="7">
        <f t="shared" si="22"/>
        <v>1500.48438550626</v>
      </c>
      <c r="J103" s="6" cm="1">
        <f t="array" ref="J103">INDEX(C$15:C$1004,E103*6-3)</f>
        <v>1.62629057740559e-5</v>
      </c>
      <c r="K103" s="7">
        <f t="shared" si="20"/>
        <v>1.62618132890201e-5</v>
      </c>
      <c r="L103" s="7">
        <f t="shared" si="16"/>
        <v>1500.34688382227</v>
      </c>
      <c r="M103" s="7">
        <f t="shared" si="18"/>
        <v>1500.44768833615</v>
      </c>
    </row>
    <row r="104" spans="1:13">
      <c r="A104">
        <v>1933931</v>
      </c>
      <c r="B104" t="s">
        <v>19</v>
      </c>
      <c r="C104" s="5">
        <v>0.375244140625</v>
      </c>
      <c r="E104">
        <v>90</v>
      </c>
      <c r="F104" s="6" cm="1">
        <f t="array" ref="F104">INDEX(C$15:C$1004,E104*6-4)</f>
        <v>1.62633787113009e-5</v>
      </c>
      <c r="G104" s="7">
        <f t="shared" si="19"/>
        <v>1.62617330715875e-5</v>
      </c>
      <c r="H104" s="7">
        <f t="shared" si="21"/>
        <v>1500.30325390168</v>
      </c>
      <c r="I104" s="7">
        <f t="shared" si="22"/>
        <v>1500.45509825276</v>
      </c>
      <c r="J104" s="6" cm="1">
        <f t="array" ref="J104">INDEX(C$15:C$1004,E104*6-3)</f>
        <v>1.62616543093463e-5</v>
      </c>
      <c r="K104" s="7">
        <f t="shared" si="20"/>
        <v>1.62618887770804e-5</v>
      </c>
      <c r="L104" s="7">
        <f t="shared" si="16"/>
        <v>1500.46234754703</v>
      </c>
      <c r="M104" s="7">
        <f t="shared" si="18"/>
        <v>1500.44072273178</v>
      </c>
    </row>
    <row r="105" spans="1:13">
      <c r="A105">
        <v>1934176</v>
      </c>
      <c r="B105" t="s">
        <v>16</v>
      </c>
      <c r="C105" s="5">
        <v>2.211208994e-11</v>
      </c>
      <c r="E105">
        <v>91</v>
      </c>
      <c r="F105" s="6" cm="1">
        <f t="array" ref="F105">INDEX(C$15:C$1004,E105*6-4)</f>
        <v>1.62640535563696e-5</v>
      </c>
      <c r="G105" s="7">
        <f t="shared" si="19"/>
        <v>1.62620095579768e-5</v>
      </c>
      <c r="H105" s="7">
        <f t="shared" si="21"/>
        <v>1500.2410017547</v>
      </c>
      <c r="I105" s="7">
        <f t="shared" si="22"/>
        <v>1500.42959005193</v>
      </c>
      <c r="J105" s="6" cm="1">
        <f t="array" ref="J105">INDEX(C$15:C$1004,E105*6-3)</f>
        <v>1.62620399350998e-5</v>
      </c>
      <c r="K105" s="7">
        <f t="shared" si="20"/>
        <v>1.62617347086779e-5</v>
      </c>
      <c r="L105" s="7">
        <f t="shared" si="16"/>
        <v>1500.42676671426</v>
      </c>
      <c r="M105" s="7">
        <f t="shared" si="18"/>
        <v>1500.45493659774</v>
      </c>
    </row>
    <row r="106" spans="1:13">
      <c r="A106">
        <v>1934177</v>
      </c>
      <c r="B106" t="s">
        <v>13</v>
      </c>
      <c r="C106" s="5">
        <v>1.62651595019269e-5</v>
      </c>
      <c r="E106">
        <v>92</v>
      </c>
      <c r="F106" s="6" cm="1">
        <f t="array" ref="F106">INDEX(C$15:C$1004,E106*6-4)</f>
        <v>1.62612886924762e-5</v>
      </c>
      <c r="G106" s="7">
        <f t="shared" si="19"/>
        <v>1.62618242029566e-5</v>
      </c>
      <c r="H106" s="7">
        <f t="shared" si="21"/>
        <v>1500.49608376299</v>
      </c>
      <c r="I106" s="7">
        <f t="shared" si="22"/>
        <v>1500.44669157376</v>
      </c>
      <c r="J106" s="6" cm="1">
        <f t="array" ref="J106">INDEX(C$15:C$1004,E106*6-3)</f>
        <v>1.62588039529509e-5</v>
      </c>
      <c r="K106" s="7">
        <f t="shared" si="20"/>
        <v>1.62615251610986e-5</v>
      </c>
      <c r="L106" s="7">
        <f t="shared" si="16"/>
        <v>1500.72539595211</v>
      </c>
      <c r="M106" s="7">
        <f t="shared" si="18"/>
        <v>1500.47427583388</v>
      </c>
    </row>
    <row r="107" spans="1:13">
      <c r="A107">
        <v>1934178</v>
      </c>
      <c r="B107" t="s">
        <v>15</v>
      </c>
      <c r="C107" s="5">
        <v>1.62600717885652e-5</v>
      </c>
      <c r="E107">
        <v>93</v>
      </c>
      <c r="F107" s="6" cm="1">
        <f t="array" ref="F107">INDEX(C$15:C$1004,E107*6-4)</f>
        <v>1.62640535563696e-5</v>
      </c>
      <c r="G107" s="7">
        <f t="shared" si="19"/>
        <v>1.62618242029566e-5</v>
      </c>
      <c r="H107" s="7">
        <f t="shared" si="21"/>
        <v>1500.2410017547</v>
      </c>
      <c r="I107" s="7">
        <f t="shared" si="22"/>
        <v>1500.44669157376</v>
      </c>
      <c r="J107" s="6" cm="1">
        <f t="array" ref="J107">INDEX(C$15:C$1004,E107*6-3)</f>
        <v>1.62620399350998e-5</v>
      </c>
      <c r="K107" s="7">
        <f t="shared" si="20"/>
        <v>1.62616746820276e-5</v>
      </c>
      <c r="L107" s="7">
        <f t="shared" si="16"/>
        <v>1500.42676671426</v>
      </c>
      <c r="M107" s="7">
        <f t="shared" si="18"/>
        <v>1500.46047892807</v>
      </c>
    </row>
    <row r="108" spans="1:13">
      <c r="A108">
        <v>1934179</v>
      </c>
      <c r="B108" t="s">
        <v>17</v>
      </c>
      <c r="C108" s="5">
        <v>1.06526184082031</v>
      </c>
      <c r="E108">
        <v>94</v>
      </c>
      <c r="F108" s="6" cm="1">
        <f t="array" ref="F108">INDEX(C$15:C$1004,E108*6-4)</f>
        <v>1.62620399350998e-5</v>
      </c>
      <c r="G108" s="7">
        <f t="shared" si="19"/>
        <v>1.62619382535922e-5</v>
      </c>
      <c r="H108" s="7">
        <f t="shared" si="21"/>
        <v>1500.42676671426</v>
      </c>
      <c r="I108" s="7">
        <f t="shared" si="22"/>
        <v>1500.43616788611</v>
      </c>
      <c r="J108" s="6" cm="1">
        <f t="array" ref="J108">INDEX(C$15:C$1004,E108*6-3)</f>
        <v>1.62612886924762e-5</v>
      </c>
      <c r="K108" s="7">
        <f t="shared" si="20"/>
        <v>1.62613981956383e-5</v>
      </c>
      <c r="L108" s="7">
        <f t="shared" si="16"/>
        <v>1500.49608376299</v>
      </c>
      <c r="M108" s="7">
        <f t="shared" si="18"/>
        <v>1500.4859871289</v>
      </c>
    </row>
    <row r="109" spans="1:13">
      <c r="A109">
        <v>1934180</v>
      </c>
      <c r="B109" t="s">
        <v>18</v>
      </c>
      <c r="C109" s="5">
        <v>0</v>
      </c>
      <c r="E109">
        <v>95</v>
      </c>
      <c r="F109" s="6" cm="1">
        <f t="array" ref="F109">INDEX(C$15:C$1004,E109*6-4)</f>
        <v>1.62602045747917e-5</v>
      </c>
      <c r="G109" s="7">
        <f t="shared" si="19"/>
        <v>1.62617887326632e-5</v>
      </c>
      <c r="H109" s="7">
        <f t="shared" si="21"/>
        <v>1500.59612643665</v>
      </c>
      <c r="I109" s="7">
        <f t="shared" si="22"/>
        <v>1500.44996536914</v>
      </c>
      <c r="J109" s="6" cm="1">
        <f t="array" ref="J109">INDEX(C$15:C$1004,E109*6-3)</f>
        <v>1.62597207236103e-5</v>
      </c>
      <c r="K109" s="7">
        <f t="shared" si="20"/>
        <v>1.62610796905937e-5</v>
      </c>
      <c r="L109" s="7">
        <f t="shared" si="16"/>
        <v>1500.64078066048</v>
      </c>
      <c r="M109" s="7">
        <f t="shared" si="18"/>
        <v>1500.51537681272</v>
      </c>
    </row>
    <row r="110" spans="1:13">
      <c r="A110">
        <v>1934181</v>
      </c>
      <c r="B110" t="s">
        <v>19</v>
      </c>
      <c r="C110" s="5">
        <v>1.06526184082031</v>
      </c>
      <c r="E110">
        <v>96</v>
      </c>
      <c r="F110" s="6" cm="1">
        <f t="array" ref="F110">INDEX(C$15:C$1004,E110*6-4)</f>
        <v>1.62608994287438e-5</v>
      </c>
      <c r="G110" s="7">
        <f t="shared" si="19"/>
        <v>1.62615206136251e-5</v>
      </c>
      <c r="H110" s="7">
        <f t="shared" si="21"/>
        <v>1500.53200359071</v>
      </c>
      <c r="I110" s="7">
        <f t="shared" si="22"/>
        <v>1500.47470292275</v>
      </c>
      <c r="J110" s="6" cm="1">
        <f t="array" ref="J110">INDEX(C$15:C$1004,E110*6-3)</f>
        <v>1.62629057740559e-5</v>
      </c>
      <c r="K110" s="7">
        <f t="shared" si="20"/>
        <v>1.62613157954183e-5</v>
      </c>
      <c r="L110" s="7">
        <f t="shared" si="16"/>
        <v>1500.34688382227</v>
      </c>
      <c r="M110" s="7">
        <f t="shared" si="18"/>
        <v>1500.49359161771</v>
      </c>
    </row>
    <row r="111" spans="1:13">
      <c r="A111">
        <v>1934426</v>
      </c>
      <c r="B111" t="s">
        <v>16</v>
      </c>
      <c r="C111" s="5">
        <v>6.82121026e-12</v>
      </c>
      <c r="E111">
        <v>97</v>
      </c>
      <c r="F111" s="6" cm="1">
        <f t="array" ref="F111">INDEX(C$15:C$1004,E111*6-4)</f>
        <v>1.62640535563696e-5</v>
      </c>
      <c r="G111" s="7">
        <f t="shared" si="19"/>
        <v>1.62617971000145e-5</v>
      </c>
      <c r="H111" s="7">
        <f t="shared" si="21"/>
        <v>1500.2410017547</v>
      </c>
      <c r="I111" s="7">
        <f t="shared" si="22"/>
        <v>1500.44919472192</v>
      </c>
      <c r="J111" s="6" cm="1">
        <f t="array" ref="J111">INDEX(C$15:C$1004,E111*6-3)</f>
        <v>1.62605447258101e-5</v>
      </c>
      <c r="K111" s="7">
        <f t="shared" si="20"/>
        <v>1.62612803251249e-5</v>
      </c>
      <c r="L111" s="7">
        <f t="shared" si="16"/>
        <v>1500.56473577237</v>
      </c>
      <c r="M111" s="7">
        <f t="shared" si="18"/>
        <v>1500.49686483588</v>
      </c>
    </row>
    <row r="112" spans="1:13">
      <c r="A112">
        <v>1934427</v>
      </c>
      <c r="B112" t="s">
        <v>13</v>
      </c>
      <c r="C112" s="5">
        <v>1.6264564692392e-5</v>
      </c>
      <c r="E112">
        <v>98</v>
      </c>
      <c r="F112" s="6" cm="1">
        <f t="array" ref="F112">INDEX(C$15:C$1004,E112*6-4)</f>
        <v>1.62633787113009e-5</v>
      </c>
      <c r="G112" s="7">
        <f t="shared" si="19"/>
        <v>1.62623422511387e-5</v>
      </c>
      <c r="H112" s="7">
        <f t="shared" si="21"/>
        <v>1500.30325390168</v>
      </c>
      <c r="I112" s="7">
        <f t="shared" si="22"/>
        <v>1500.39888744747</v>
      </c>
      <c r="J112" s="6" cm="1">
        <f t="array" ref="J112">INDEX(C$15:C$1004,E112*6-3)</f>
        <v>1.62612886924762e-5</v>
      </c>
      <c r="K112" s="7">
        <f t="shared" si="20"/>
        <v>1.62613192514981e-5</v>
      </c>
      <c r="L112" s="7">
        <f t="shared" si="16"/>
        <v>1500.49608376299</v>
      </c>
      <c r="M112" s="7">
        <f t="shared" si="18"/>
        <v>1500.4932728531</v>
      </c>
    </row>
    <row r="113" spans="1:13">
      <c r="A113">
        <v>1934428</v>
      </c>
      <c r="B113" t="s">
        <v>15</v>
      </c>
      <c r="C113" s="5">
        <v>1.62600717885652e-5</v>
      </c>
      <c r="E113">
        <v>99</v>
      </c>
      <c r="F113" s="6" cm="1">
        <f t="array" ref="F113">INDEX(C$15:C$1004,E113*6-4)</f>
        <v>1.62608994287438e-5</v>
      </c>
      <c r="G113" s="7">
        <f t="shared" si="19"/>
        <v>1.62624250151566e-5</v>
      </c>
      <c r="H113" s="7">
        <f t="shared" si="21"/>
        <v>1500.53200359071</v>
      </c>
      <c r="I113" s="7">
        <f t="shared" si="22"/>
        <v>1500.39124971628</v>
      </c>
      <c r="J113" s="6" cm="1">
        <f t="array" ref="J113">INDEX(C$15:C$1004,E113*6-3)</f>
        <v>1.62581982294796e-5</v>
      </c>
      <c r="K113" s="7">
        <f t="shared" si="20"/>
        <v>1.62608484970405e-5</v>
      </c>
      <c r="L113" s="7">
        <f t="shared" si="16"/>
        <v>1500.78130771942</v>
      </c>
      <c r="M113" s="7">
        <f t="shared" si="18"/>
        <v>1500.53671524282</v>
      </c>
    </row>
    <row r="114" spans="1:13">
      <c r="A114">
        <v>1934429</v>
      </c>
      <c r="B114" t="s">
        <v>17</v>
      </c>
      <c r="C114" s="5">
        <v>0.328567504882812</v>
      </c>
      <c r="E114">
        <v>100</v>
      </c>
      <c r="F114" s="6" cm="1">
        <f t="array" ref="F114">INDEX(C$15:C$1004,E114*6-4)</f>
        <v>1.62629057740559e-5</v>
      </c>
      <c r="G114" s="7">
        <f t="shared" si="19"/>
        <v>1.62623777214321e-5</v>
      </c>
      <c r="H114" s="7">
        <f t="shared" si="21"/>
        <v>1500.34688382227</v>
      </c>
      <c r="I114" s="7">
        <f t="shared" si="22"/>
        <v>1500.39561270834</v>
      </c>
      <c r="J114" s="6" cm="1">
        <f t="array" ref="J114">INDEX(C$15:C$1004,E114*6-3)</f>
        <v>1.62608994287438e-5</v>
      </c>
      <c r="K114" s="7">
        <f t="shared" si="20"/>
        <v>1.62607730089803e-5</v>
      </c>
      <c r="L114" s="7">
        <f t="shared" si="16"/>
        <v>1500.53200359071</v>
      </c>
      <c r="M114" s="7">
        <f t="shared" si="18"/>
        <v>1500.54368084719</v>
      </c>
    </row>
    <row r="115" spans="1:13">
      <c r="A115">
        <v>1934430</v>
      </c>
      <c r="B115" t="s">
        <v>18</v>
      </c>
      <c r="C115" s="5">
        <v>0</v>
      </c>
      <c r="E115">
        <v>101</v>
      </c>
      <c r="F115" s="6" cm="1">
        <f t="array" ref="F115">INDEX(C$15:C$1004,E115*6-4)</f>
        <v>1.62629057740559e-5</v>
      </c>
      <c r="G115" s="7">
        <f t="shared" si="19"/>
        <v>1.62622629432007e-5</v>
      </c>
      <c r="H115" s="7">
        <f t="shared" si="21"/>
        <v>1500.34688382227</v>
      </c>
      <c r="I115" s="7">
        <f t="shared" si="22"/>
        <v>1500.4062009151</v>
      </c>
      <c r="J115" s="6" cm="1">
        <f t="array" ref="J115">INDEX(C$15:C$1004,E115*6-3)</f>
        <v>1.62635806191247e-5</v>
      </c>
      <c r="K115" s="7">
        <f t="shared" si="20"/>
        <v>1.62609270773827e-5</v>
      </c>
      <c r="L115" s="7">
        <f t="shared" si="16"/>
        <v>1500.28462805463</v>
      </c>
      <c r="M115" s="7">
        <f t="shared" si="18"/>
        <v>1500.52946698122</v>
      </c>
    </row>
    <row r="116" spans="1:13">
      <c r="A116">
        <v>1934431</v>
      </c>
      <c r="B116" t="s">
        <v>19</v>
      </c>
      <c r="C116" s="5">
        <v>0.328567504882812</v>
      </c>
      <c r="E116">
        <v>102</v>
      </c>
      <c r="F116" s="6" cm="1">
        <f t="array" ref="F116">INDEX(C$15:C$1004,E116*6-4)</f>
        <v>1.62624583026627e-5</v>
      </c>
      <c r="G116" s="7">
        <f t="shared" si="19"/>
        <v>1.62623799042194e-5</v>
      </c>
      <c r="H116" s="7">
        <f t="shared" si="21"/>
        <v>1500.3881667758</v>
      </c>
      <c r="I116" s="7">
        <f t="shared" si="22"/>
        <v>1500.39540921638</v>
      </c>
      <c r="J116" s="6" cm="1">
        <f t="array" ref="J116">INDEX(C$15:C$1004,E116*6-3)</f>
        <v>1.62635806191247e-5</v>
      </c>
      <c r="K116" s="7">
        <f t="shared" si="20"/>
        <v>1.62614047440001e-5</v>
      </c>
      <c r="L116" s="7">
        <f t="shared" si="16"/>
        <v>1500.28462805463</v>
      </c>
      <c r="M116" s="7">
        <f t="shared" si="18"/>
        <v>1500.48539019148</v>
      </c>
    </row>
    <row r="117" spans="1:13">
      <c r="A117">
        <v>1934676</v>
      </c>
      <c r="B117" t="s">
        <v>16</v>
      </c>
      <c r="C117" s="5">
        <v>4.143885235e-11</v>
      </c>
      <c r="E117">
        <v>103</v>
      </c>
      <c r="F117" s="6" cm="1">
        <f t="array" ref="F117">INDEX(C$15:C$1004,E117*6-4)</f>
        <v>1.62626274686772e-5</v>
      </c>
      <c r="G117" s="7">
        <f t="shared" si="19"/>
        <v>1.62622372954501e-5</v>
      </c>
      <c r="H117" s="7">
        <f t="shared" si="21"/>
        <v>1500.37255953848</v>
      </c>
      <c r="I117" s="7">
        <f t="shared" si="22"/>
        <v>1500.40856499475</v>
      </c>
      <c r="J117" s="6" cm="1">
        <f t="array" ref="J117">INDEX(C$15:C$1004,E117*6-3)</f>
        <v>1.62616997840814e-5</v>
      </c>
      <c r="K117" s="7">
        <f t="shared" si="20"/>
        <v>1.62613707288983e-5</v>
      </c>
      <c r="L117" s="7">
        <f t="shared" si="16"/>
        <v>1500.45815160634</v>
      </c>
      <c r="M117" s="7">
        <f t="shared" si="18"/>
        <v>1500.48852868068</v>
      </c>
    </row>
    <row r="118" spans="1:13">
      <c r="A118">
        <v>1934677</v>
      </c>
      <c r="B118" t="s">
        <v>13</v>
      </c>
      <c r="C118" s="5">
        <v>1.62616997840814e-5</v>
      </c>
      <c r="E118">
        <v>104</v>
      </c>
      <c r="F118" s="6" cm="1">
        <f t="array" ref="F118">INDEX(C$15:C$1004,E118*6-4)</f>
        <v>1.62597207236103e-5</v>
      </c>
      <c r="G118" s="7">
        <f t="shared" si="19"/>
        <v>1.62620053743012e-5</v>
      </c>
      <c r="H118" s="7">
        <f t="shared" si="21"/>
        <v>1500.64078066048</v>
      </c>
      <c r="I118" s="7">
        <f t="shared" si="22"/>
        <v>1500.42996638938</v>
      </c>
      <c r="J118" s="6" cm="1">
        <f t="array" ref="J118">INDEX(C$15:C$1004,E118*6-3)</f>
        <v>1.62567212100839e-5</v>
      </c>
      <c r="K118" s="7">
        <f t="shared" si="20"/>
        <v>1.62609139806591e-5</v>
      </c>
      <c r="L118" s="7">
        <f t="shared" si="16"/>
        <v>1500.91766258899</v>
      </c>
      <c r="M118" s="7">
        <f t="shared" si="18"/>
        <v>1500.53068656328</v>
      </c>
    </row>
    <row r="119" spans="1:13">
      <c r="A119">
        <v>1934678</v>
      </c>
      <c r="B119" t="s">
        <v>15</v>
      </c>
      <c r="C119" s="5">
        <v>1.62600717885652e-5</v>
      </c>
      <c r="E119">
        <v>105</v>
      </c>
      <c r="F119" s="6" cm="1">
        <f t="array" ref="F119">INDEX(C$15:C$1004,E119*6-4)</f>
        <v>1.62638898473233e-5</v>
      </c>
      <c r="G119" s="7">
        <f t="shared" si="19"/>
        <v>1.62623739015543e-5</v>
      </c>
      <c r="H119" s="7">
        <f t="shared" si="21"/>
        <v>1500.25610287909</v>
      </c>
      <c r="I119" s="7">
        <f t="shared" si="22"/>
        <v>1500.39596403362</v>
      </c>
      <c r="J119" s="6" cm="1">
        <f t="array" ref="J119">INDEX(C$15:C$1004,E119*6-3)</f>
        <v>1.62597207236103e-5</v>
      </c>
      <c r="K119" s="7">
        <f t="shared" si="20"/>
        <v>1.62609139806591e-5</v>
      </c>
      <c r="L119" s="7">
        <f t="shared" si="16"/>
        <v>1500.64078066048</v>
      </c>
      <c r="M119" s="7">
        <f t="shared" si="18"/>
        <v>1500.53068656328</v>
      </c>
    </row>
    <row r="120" spans="1:13">
      <c r="A120">
        <v>1934679</v>
      </c>
      <c r="B120" t="s">
        <v>17</v>
      </c>
      <c r="C120" s="5">
        <v>1.99676513671875</v>
      </c>
      <c r="E120">
        <v>106</v>
      </c>
      <c r="F120" s="6" cm="1">
        <f t="array" ref="F120">INDEX(C$15:C$1004,E120*6-4)</f>
        <v>1.62621381605276e-5</v>
      </c>
      <c r="G120" s="7">
        <f t="shared" si="19"/>
        <v>1.62624977747327e-5</v>
      </c>
      <c r="H120" s="7">
        <f t="shared" si="21"/>
        <v>1500.41770394161</v>
      </c>
      <c r="I120" s="7">
        <f t="shared" si="22"/>
        <v>1500.38453406871</v>
      </c>
      <c r="J120" s="6" cm="1">
        <f t="array" ref="J120">INDEX(C$15:C$1004,E120*6-3)</f>
        <v>1.62612886924762e-5</v>
      </c>
      <c r="K120" s="7">
        <f t="shared" si="20"/>
        <v>1.62607522725011e-5</v>
      </c>
      <c r="L120" s="7">
        <f t="shared" si="16"/>
        <v>1500.49608376299</v>
      </c>
      <c r="M120" s="7">
        <f t="shared" si="18"/>
        <v>1500.54560655736</v>
      </c>
    </row>
    <row r="121" spans="1:13">
      <c r="A121">
        <v>1934680</v>
      </c>
      <c r="B121" t="s">
        <v>18</v>
      </c>
      <c r="C121" s="5">
        <v>0</v>
      </c>
      <c r="E121">
        <v>107</v>
      </c>
      <c r="F121" s="6" cm="1">
        <f t="array" ref="F121">INDEX(C$15:C$1004,E121*6-4)</f>
        <v>1.62593914865283e-5</v>
      </c>
      <c r="G121" s="7">
        <f t="shared" ref="G121:G152" si="23">AVERAGE(F112:F121)</f>
        <v>1.62620315677486e-5</v>
      </c>
      <c r="H121" s="7">
        <f t="shared" si="21"/>
        <v>1500.67116719691</v>
      </c>
      <c r="I121" s="7">
        <f t="shared" si="22"/>
        <v>1500.42755061293</v>
      </c>
      <c r="J121" s="6" cm="1">
        <f t="array" ref="J121">INDEX(C$15:C$1004,E121*6-3)</f>
        <v>1.62593914865283e-5</v>
      </c>
      <c r="K121" s="7">
        <f t="shared" ref="K121:K152" si="24">AVERAGE(J112:J121)</f>
        <v>1.62606369485729e-5</v>
      </c>
      <c r="L121" s="7">
        <f t="shared" si="16"/>
        <v>1500.67116719691</v>
      </c>
      <c r="M121" s="7">
        <f t="shared" si="18"/>
        <v>1500.55624969981</v>
      </c>
    </row>
    <row r="122" spans="1:13">
      <c r="A122">
        <v>1934681</v>
      </c>
      <c r="B122" t="s">
        <v>19</v>
      </c>
      <c r="C122" s="5">
        <v>1.99676513671875</v>
      </c>
      <c r="E122">
        <v>108</v>
      </c>
      <c r="F122" s="6" cm="1">
        <f t="array" ref="F122">INDEX(C$15:C$1004,E122*6-4)</f>
        <v>1.62590858963085e-5</v>
      </c>
      <c r="G122" s="7">
        <f t="shared" si="23"/>
        <v>1.62616022862493e-5</v>
      </c>
      <c r="H122" s="7">
        <f t="shared" si="21"/>
        <v>1500.69937237614</v>
      </c>
      <c r="I122" s="7">
        <f t="shared" si="22"/>
        <v>1500.46716246038</v>
      </c>
      <c r="J122" s="6" cm="1">
        <f t="array" ref="J122">INDEX(C$15:C$1004,E122*6-3)</f>
        <v>1.62635806191247e-5</v>
      </c>
      <c r="K122" s="7">
        <f t="shared" si="24"/>
        <v>1.62608661412378e-5</v>
      </c>
      <c r="L122" s="7">
        <f t="shared" si="16"/>
        <v>1500.28462805463</v>
      </c>
      <c r="M122" s="7">
        <f t="shared" si="18"/>
        <v>1500.53510412898</v>
      </c>
    </row>
    <row r="123" spans="1:13">
      <c r="A123">
        <v>1934926</v>
      </c>
      <c r="B123" t="s">
        <v>16</v>
      </c>
      <c r="C123" s="5">
        <v>4.968114808e-11</v>
      </c>
      <c r="E123">
        <v>109</v>
      </c>
      <c r="F123" s="6" cm="1">
        <f t="array" ref="F123">INDEX(C$15:C$1004,E123*6-4)</f>
        <v>1.62597207236103e-5</v>
      </c>
      <c r="G123" s="7">
        <f t="shared" si="23"/>
        <v>1.6261484415736e-5</v>
      </c>
      <c r="H123" s="7">
        <f t="shared" si="21"/>
        <v>1500.64078066048</v>
      </c>
      <c r="I123" s="7">
        <f t="shared" si="22"/>
        <v>1500.47804016735</v>
      </c>
      <c r="J123" s="6" cm="1">
        <f t="array" ref="J123">INDEX(C$15:C$1004,E123*6-3)</f>
        <v>1.62624583026627e-5</v>
      </c>
      <c r="K123" s="7">
        <f t="shared" si="24"/>
        <v>1.62612921485561e-5</v>
      </c>
      <c r="L123" s="7">
        <f t="shared" si="16"/>
        <v>1500.3881667758</v>
      </c>
      <c r="M123" s="7">
        <f t="shared" si="18"/>
        <v>1500.49579003461</v>
      </c>
    </row>
    <row r="124" spans="1:13">
      <c r="A124">
        <v>1934927</v>
      </c>
      <c r="B124" t="s">
        <v>13</v>
      </c>
      <c r="C124" s="5">
        <v>1.62595897563733e-5</v>
      </c>
      <c r="E124">
        <v>110</v>
      </c>
      <c r="F124" s="6" cm="1">
        <f t="array" ref="F124">INDEX(C$15:C$1004,E124*6-4)</f>
        <v>1.62600717885652e-5</v>
      </c>
      <c r="G124" s="7">
        <f t="shared" si="23"/>
        <v>1.62612010171869e-5</v>
      </c>
      <c r="H124" s="7">
        <f t="shared" si="21"/>
        <v>1500.60838090267</v>
      </c>
      <c r="I124" s="7">
        <f t="shared" si="22"/>
        <v>1500.50418987539</v>
      </c>
      <c r="J124" s="6" cm="1">
        <f t="array" ref="J124">INDEX(C$15:C$1004,E124*6-3)</f>
        <v>1.62616997840814e-5</v>
      </c>
      <c r="K124" s="7">
        <f t="shared" si="24"/>
        <v>1.62613721840898e-5</v>
      </c>
      <c r="L124" s="7">
        <f t="shared" si="16"/>
        <v>1500.45815160634</v>
      </c>
      <c r="M124" s="7">
        <f t="shared" si="18"/>
        <v>1500.48840483618</v>
      </c>
    </row>
    <row r="125" spans="1:13">
      <c r="A125">
        <v>1934928</v>
      </c>
      <c r="B125" t="s">
        <v>15</v>
      </c>
      <c r="C125" s="5">
        <v>1.62629057740559e-5</v>
      </c>
      <c r="E125">
        <v>111</v>
      </c>
      <c r="F125" s="6" cm="1">
        <f t="array" ref="F125">INDEX(C$15:C$1004,E125*6-4)</f>
        <v>1.62608994287438e-5</v>
      </c>
      <c r="G125" s="7">
        <f t="shared" si="23"/>
        <v>1.62610003826557e-5</v>
      </c>
      <c r="H125" s="7">
        <f t="shared" si="21"/>
        <v>1500.53200359071</v>
      </c>
      <c r="I125" s="7">
        <f t="shared" si="22"/>
        <v>1500.52270185224</v>
      </c>
      <c r="J125" s="6" cm="1">
        <f t="array" ref="J125">INDEX(C$15:C$1004,E125*6-3)</f>
        <v>1.62608994287438e-5</v>
      </c>
      <c r="K125" s="7">
        <f t="shared" si="24"/>
        <v>1.62611040650517e-5</v>
      </c>
      <c r="L125" s="7">
        <f t="shared" si="16"/>
        <v>1500.53200359071</v>
      </c>
      <c r="M125" s="7">
        <f t="shared" si="18"/>
        <v>1500.51314238978</v>
      </c>
    </row>
    <row r="126" spans="1:13">
      <c r="A126">
        <v>1934929</v>
      </c>
      <c r="B126" t="s">
        <v>17</v>
      </c>
      <c r="C126" s="5">
        <v>2.39398193359375</v>
      </c>
      <c r="E126">
        <v>112</v>
      </c>
      <c r="F126" s="6" cm="1">
        <f t="array" ref="F126">INDEX(C$15:C$1004,E126*6-4)</f>
        <v>1.62612886924762e-5</v>
      </c>
      <c r="G126" s="7">
        <f t="shared" si="23"/>
        <v>1.62608834216371e-5</v>
      </c>
      <c r="H126" s="7">
        <f t="shared" si="21"/>
        <v>1500.49608376299</v>
      </c>
      <c r="I126" s="7">
        <f t="shared" si="22"/>
        <v>1500.53349355096</v>
      </c>
      <c r="J126" s="6" cm="1">
        <f t="array" ref="J126">INDEX(C$15:C$1004,E126*6-3)</f>
        <v>1.62605447258101e-5</v>
      </c>
      <c r="K126" s="7">
        <f t="shared" si="24"/>
        <v>1.62608004757203e-5</v>
      </c>
      <c r="L126" s="7">
        <f t="shared" si="16"/>
        <v>1500.56473577237</v>
      </c>
      <c r="M126" s="7">
        <f t="shared" si="18"/>
        <v>1500.54115316156</v>
      </c>
    </row>
    <row r="127" spans="1:13">
      <c r="A127">
        <v>1934930</v>
      </c>
      <c r="B127" t="s">
        <v>18</v>
      </c>
      <c r="C127" s="5">
        <v>0</v>
      </c>
      <c r="E127">
        <v>113</v>
      </c>
      <c r="F127" s="6" cm="1">
        <f t="array" ref="F127">INDEX(C$15:C$1004,E127*6-4)</f>
        <v>1.62602045747917e-5</v>
      </c>
      <c r="G127" s="7">
        <f t="shared" si="23"/>
        <v>1.62606411322485e-5</v>
      </c>
      <c r="H127" s="7">
        <f t="shared" si="21"/>
        <v>1500.59612643665</v>
      </c>
      <c r="I127" s="7">
        <f t="shared" si="22"/>
        <v>1500.55585024077</v>
      </c>
      <c r="J127" s="6" cm="1">
        <f t="array" ref="J127">INDEX(C$15:C$1004,E127*6-3)</f>
        <v>1.62612886924762e-5</v>
      </c>
      <c r="K127" s="7">
        <f t="shared" si="24"/>
        <v>1.62607593665598e-5</v>
      </c>
      <c r="L127" s="7">
        <f t="shared" si="16"/>
        <v>1500.49608376299</v>
      </c>
      <c r="M127" s="7">
        <f t="shared" si="18"/>
        <v>1500.54494637722</v>
      </c>
    </row>
    <row r="128" spans="1:13">
      <c r="A128">
        <v>1934931</v>
      </c>
      <c r="B128" t="s">
        <v>19</v>
      </c>
      <c r="C128" s="5">
        <v>2.39398193359375</v>
      </c>
      <c r="E128">
        <v>114</v>
      </c>
      <c r="F128" s="6" cm="1">
        <f t="array" ref="F128">INDEX(C$15:C$1004,E128*6-4)</f>
        <v>1.62605447258101e-5</v>
      </c>
      <c r="G128" s="7">
        <f t="shared" si="23"/>
        <v>1.62607235324685e-5</v>
      </c>
      <c r="H128" s="7">
        <f t="shared" si="21"/>
        <v>1500.56473577237</v>
      </c>
      <c r="I128" s="7">
        <f t="shared" si="22"/>
        <v>1500.54824575196</v>
      </c>
      <c r="J128" s="6" cm="1">
        <f t="array" ref="J128">INDEX(C$15:C$1004,E128*6-3)</f>
        <v>1.62612886924762e-5</v>
      </c>
      <c r="K128" s="7">
        <f t="shared" si="24"/>
        <v>1.6261216114799e-5</v>
      </c>
      <c r="L128" s="7">
        <f t="shared" si="16"/>
        <v>1500.49608376299</v>
      </c>
      <c r="M128" s="7">
        <f t="shared" si="18"/>
        <v>1500.50278849462</v>
      </c>
    </row>
    <row r="129" spans="1:13">
      <c r="A129">
        <v>1935176</v>
      </c>
      <c r="B129" t="s">
        <v>16</v>
      </c>
      <c r="C129" s="5">
        <v>3.996092346e-11</v>
      </c>
      <c r="E129">
        <v>115</v>
      </c>
      <c r="F129" s="6" cm="1">
        <f t="array" ref="F129">INDEX(C$15:C$1004,E129*6-4)</f>
        <v>1.62597207236103e-5</v>
      </c>
      <c r="G129" s="7">
        <f t="shared" si="23"/>
        <v>1.62603066200972e-5</v>
      </c>
      <c r="H129" s="7">
        <f t="shared" si="21"/>
        <v>1500.64078066048</v>
      </c>
      <c r="I129" s="7">
        <f t="shared" si="22"/>
        <v>1500.5867135301</v>
      </c>
      <c r="J129" s="6" cm="1">
        <f t="array" ref="J129">INDEX(C$15:C$1004,E129*6-3)</f>
        <v>1.62604410434141e-5</v>
      </c>
      <c r="K129" s="7">
        <f t="shared" si="24"/>
        <v>1.62612881467794e-5</v>
      </c>
      <c r="L129" s="7">
        <f t="shared" si="16"/>
        <v>1500.57430391057</v>
      </c>
      <c r="M129" s="7">
        <f t="shared" si="18"/>
        <v>1500.49614081963</v>
      </c>
    </row>
    <row r="130" spans="1:13">
      <c r="A130">
        <v>1935177</v>
      </c>
      <c r="B130" t="s">
        <v>13</v>
      </c>
      <c r="C130" s="5">
        <v>1.62581982294796e-5</v>
      </c>
      <c r="E130">
        <v>116</v>
      </c>
      <c r="F130" s="6" cm="1">
        <f t="array" ref="F130">INDEX(C$15:C$1004,E130*6-4)</f>
        <v>1.62605447258101e-5</v>
      </c>
      <c r="G130" s="7">
        <f t="shared" si="23"/>
        <v>1.62601472766254e-5</v>
      </c>
      <c r="H130" s="7">
        <f t="shared" ref="H130:H161" si="25">24.4/F130/1000</f>
        <v>1500.56473577237</v>
      </c>
      <c r="I130" s="7">
        <f t="shared" si="22"/>
        <v>1500.60141671318</v>
      </c>
      <c r="J130" s="6" cm="1">
        <f t="array" ref="J130">INDEX(C$15:C$1004,E130*6-3)</f>
        <v>1.62608994287438e-5</v>
      </c>
      <c r="K130" s="7">
        <f t="shared" si="24"/>
        <v>1.62612492204061e-5</v>
      </c>
      <c r="L130" s="7">
        <f t="shared" si="16"/>
        <v>1500.53200359071</v>
      </c>
      <c r="M130" s="7">
        <f t="shared" si="18"/>
        <v>1500.4997328024</v>
      </c>
    </row>
    <row r="131" spans="1:13">
      <c r="A131">
        <v>1935178</v>
      </c>
      <c r="B131" t="s">
        <v>15</v>
      </c>
      <c r="C131" s="5">
        <v>1.62590858963085e-5</v>
      </c>
      <c r="E131">
        <v>117</v>
      </c>
      <c r="F131" s="6" cm="1">
        <f t="array" ref="F131">INDEX(C$15:C$1004,E131*6-4)</f>
        <v>1.62629057740559e-5</v>
      </c>
      <c r="G131" s="7">
        <f t="shared" si="23"/>
        <v>1.62604987053782e-5</v>
      </c>
      <c r="H131" s="7">
        <f t="shared" si="25"/>
        <v>1500.34688382227</v>
      </c>
      <c r="I131" s="7">
        <f t="shared" si="22"/>
        <v>1500.56898837572</v>
      </c>
      <c r="J131" s="6" cm="1">
        <f t="array" ref="J131">INDEX(C$15:C$1004,E131*6-3)</f>
        <v>1.62584874487947e-5</v>
      </c>
      <c r="K131" s="7">
        <f t="shared" si="24"/>
        <v>1.62611588166328e-5</v>
      </c>
      <c r="L131" s="7">
        <f t="shared" si="16"/>
        <v>1500.7546105901</v>
      </c>
      <c r="M131" s="7">
        <f t="shared" si="18"/>
        <v>1500.50807714172</v>
      </c>
    </row>
    <row r="132" spans="1:13">
      <c r="A132">
        <v>1935179</v>
      </c>
      <c r="B132" t="s">
        <v>17</v>
      </c>
      <c r="C132" s="5">
        <v>1.92617797851562</v>
      </c>
      <c r="E132">
        <v>118</v>
      </c>
      <c r="F132" s="6" cm="1">
        <f t="array" ref="F132">INDEX(C$15:C$1004,E132*6-4)</f>
        <v>1.62612886924762e-5</v>
      </c>
      <c r="G132" s="7">
        <f t="shared" si="23"/>
        <v>1.6260718984995e-5</v>
      </c>
      <c r="H132" s="7">
        <f t="shared" si="25"/>
        <v>1500.49608376299</v>
      </c>
      <c r="I132" s="7">
        <f t="shared" si="22"/>
        <v>1500.5486595144</v>
      </c>
      <c r="J132" s="6" cm="1">
        <f t="array" ref="J132">INDEX(C$15:C$1004,E132*6-3)</f>
        <v>1.62598880706355e-5</v>
      </c>
      <c r="K132" s="7">
        <f t="shared" si="24"/>
        <v>1.62607895617839e-5</v>
      </c>
      <c r="L132" s="7">
        <f t="shared" si="16"/>
        <v>1500.62533604183</v>
      </c>
      <c r="M132" s="7">
        <f t="shared" si="18"/>
        <v>1500.54214794044</v>
      </c>
    </row>
    <row r="133" spans="1:13">
      <c r="A133">
        <v>1935180</v>
      </c>
      <c r="B133" t="s">
        <v>18</v>
      </c>
      <c r="C133" s="5">
        <v>0</v>
      </c>
      <c r="E133">
        <v>119</v>
      </c>
      <c r="F133" s="6" cm="1">
        <f t="array" ref="F133">INDEX(C$15:C$1004,E133*6-4)</f>
        <v>1.62593914865283e-5</v>
      </c>
      <c r="G133" s="7">
        <f t="shared" si="23"/>
        <v>1.62606860612868e-5</v>
      </c>
      <c r="H133" s="7">
        <f t="shared" si="25"/>
        <v>1500.67116719691</v>
      </c>
      <c r="I133" s="7">
        <f t="shared" si="22"/>
        <v>1500.55169816804</v>
      </c>
      <c r="J133" s="6" cm="1">
        <f t="array" ref="J133">INDEX(C$15:C$1004,E133*6-3)</f>
        <v>1.62624583026627e-5</v>
      </c>
      <c r="K133" s="7">
        <f t="shared" si="24"/>
        <v>1.62607895617839e-5</v>
      </c>
      <c r="L133" s="7">
        <f t="shared" si="16"/>
        <v>1500.3881667758</v>
      </c>
      <c r="M133" s="7">
        <f t="shared" si="18"/>
        <v>1500.54214794044</v>
      </c>
    </row>
    <row r="134" spans="1:13">
      <c r="A134">
        <v>1935181</v>
      </c>
      <c r="B134" t="s">
        <v>19</v>
      </c>
      <c r="C134" s="5">
        <v>1.92617797851562</v>
      </c>
      <c r="E134">
        <v>120</v>
      </c>
      <c r="F134" s="6" cm="1">
        <f t="array" ref="F134">INDEX(C$15:C$1004,E134*6-4)</f>
        <v>1.62605447258101e-5</v>
      </c>
      <c r="G134" s="7">
        <f t="shared" si="23"/>
        <v>1.62607333550113e-5</v>
      </c>
      <c r="H134" s="7">
        <f t="shared" si="25"/>
        <v>1500.56473577237</v>
      </c>
      <c r="I134" s="7">
        <f t="shared" ref="I134:I165" si="26">AVERAGE(H125:H134)</f>
        <v>1500.54733365501</v>
      </c>
      <c r="J134" s="6" cm="1">
        <f t="array" ref="J134">INDEX(C$15:C$1004,E134*6-3)</f>
        <v>1.62620399350998e-5</v>
      </c>
      <c r="K134" s="7">
        <f t="shared" si="24"/>
        <v>1.62608235768857e-5</v>
      </c>
      <c r="L134" s="7">
        <f t="shared" si="16"/>
        <v>1500.42676671426</v>
      </c>
      <c r="M134" s="7">
        <f t="shared" si="18"/>
        <v>1500.53900945124</v>
      </c>
    </row>
    <row r="135" spans="1:13">
      <c r="A135">
        <v>1935426</v>
      </c>
      <c r="B135" t="s">
        <v>16</v>
      </c>
      <c r="C135" s="5">
        <v>6.332356861e-11</v>
      </c>
      <c r="E135">
        <v>121</v>
      </c>
      <c r="F135" s="6" cm="1">
        <f t="array" ref="F135">INDEX(C$15:C$1004,E135*6-4)</f>
        <v>1.62620399350998e-5</v>
      </c>
      <c r="G135" s="7">
        <f t="shared" si="23"/>
        <v>1.62608474056469e-5</v>
      </c>
      <c r="H135" s="7">
        <f t="shared" si="25"/>
        <v>1500.42676671426</v>
      </c>
      <c r="I135" s="7">
        <f t="shared" si="26"/>
        <v>1500.53680996737</v>
      </c>
      <c r="J135" s="6" cm="1">
        <f t="array" ref="J135">INDEX(C$15:C$1004,E135*6-3)</f>
        <v>1.62597207236103e-5</v>
      </c>
      <c r="K135" s="7">
        <f t="shared" si="24"/>
        <v>1.62607057063723e-5</v>
      </c>
      <c r="L135" s="7">
        <f t="shared" si="16"/>
        <v>1500.64078066048</v>
      </c>
      <c r="M135" s="7">
        <f t="shared" si="18"/>
        <v>1500.54988715821</v>
      </c>
    </row>
    <row r="136" spans="1:13">
      <c r="A136">
        <v>1935427</v>
      </c>
      <c r="B136" t="s">
        <v>13</v>
      </c>
      <c r="C136" s="5">
        <v>1.62624583026627e-5</v>
      </c>
      <c r="E136">
        <v>122</v>
      </c>
      <c r="F136" s="6" cm="1">
        <f t="array" ref="F136">INDEX(C$15:C$1004,E136*6-4)</f>
        <v>1.62620399350998e-5</v>
      </c>
      <c r="G136" s="7">
        <f t="shared" si="23"/>
        <v>1.62609225299092e-5</v>
      </c>
      <c r="H136" s="7">
        <f t="shared" si="25"/>
        <v>1500.42676671426</v>
      </c>
      <c r="I136" s="7">
        <f t="shared" si="26"/>
        <v>1500.52987826249</v>
      </c>
      <c r="J136" s="6" cm="1">
        <f t="array" ref="J136">INDEX(C$15:C$1004,E136*6-3)</f>
        <v>1.62605447258101e-5</v>
      </c>
      <c r="K136" s="7">
        <f t="shared" si="24"/>
        <v>1.62607057063723e-5</v>
      </c>
      <c r="L136" s="7">
        <f t="shared" si="16"/>
        <v>1500.56473577237</v>
      </c>
      <c r="M136" s="7">
        <f t="shared" si="18"/>
        <v>1500.54988715821</v>
      </c>
    </row>
    <row r="137" spans="1:13">
      <c r="A137">
        <v>1935428</v>
      </c>
      <c r="B137" t="s">
        <v>15</v>
      </c>
      <c r="C137" s="5">
        <v>1.62612886924762e-5</v>
      </c>
      <c r="E137">
        <v>123</v>
      </c>
      <c r="F137" s="6" cm="1">
        <f t="array" ref="F137">INDEX(C$15:C$1004,E137*6-4)</f>
        <v>1.62593914865283e-5</v>
      </c>
      <c r="G137" s="7">
        <f t="shared" si="23"/>
        <v>1.62608412210829e-5</v>
      </c>
      <c r="H137" s="7">
        <f t="shared" si="25"/>
        <v>1500.67116719691</v>
      </c>
      <c r="I137" s="7">
        <f t="shared" si="26"/>
        <v>1500.53738233852</v>
      </c>
      <c r="J137" s="6" cm="1">
        <f t="array" ref="J137">INDEX(C$15:C$1004,E137*6-3)</f>
        <v>1.62605447258101e-5</v>
      </c>
      <c r="K137" s="7">
        <f t="shared" si="24"/>
        <v>1.62606313097057e-5</v>
      </c>
      <c r="L137" s="7">
        <f t="shared" si="16"/>
        <v>1500.56473577237</v>
      </c>
      <c r="M137" s="7">
        <f t="shared" si="18"/>
        <v>1500.55675235915</v>
      </c>
    </row>
    <row r="138" spans="1:13">
      <c r="A138">
        <v>1935429</v>
      </c>
      <c r="B138" t="s">
        <v>17</v>
      </c>
      <c r="C138" s="5">
        <v>3.05094909667968</v>
      </c>
      <c r="E138">
        <v>124</v>
      </c>
      <c r="F138" s="6" cm="1">
        <f t="array" ref="F138">INDEX(C$15:C$1004,E138*6-4)</f>
        <v>1.62588039529509e-5</v>
      </c>
      <c r="G138" s="7">
        <f t="shared" si="23"/>
        <v>1.6260667143797e-5</v>
      </c>
      <c r="H138" s="7">
        <f t="shared" si="25"/>
        <v>1500.72539595211</v>
      </c>
      <c r="I138" s="7">
        <f t="shared" si="26"/>
        <v>1500.55344835649</v>
      </c>
      <c r="J138" s="6" cm="1">
        <f t="array" ref="J138">INDEX(C$15:C$1004,E138*6-3)</f>
        <v>1.62600717885652e-5</v>
      </c>
      <c r="K138" s="7">
        <f t="shared" si="24"/>
        <v>1.62605096193146e-5</v>
      </c>
      <c r="L138" s="7">
        <f t="shared" si="16"/>
        <v>1500.60838090267</v>
      </c>
      <c r="M138" s="7">
        <f t="shared" si="18"/>
        <v>1500.56798207312</v>
      </c>
    </row>
    <row r="139" spans="1:13">
      <c r="A139">
        <v>1935430</v>
      </c>
      <c r="B139" t="s">
        <v>18</v>
      </c>
      <c r="C139" s="5">
        <v>0</v>
      </c>
      <c r="E139">
        <v>125</v>
      </c>
      <c r="F139" s="6" cm="1">
        <f t="array" ref="F139">INDEX(C$15:C$1004,E139*6-4)</f>
        <v>1.62608994287438e-5</v>
      </c>
      <c r="G139" s="7">
        <f t="shared" si="23"/>
        <v>1.62607850143103e-5</v>
      </c>
      <c r="H139" s="7">
        <f t="shared" si="25"/>
        <v>1500.53200359071</v>
      </c>
      <c r="I139" s="7">
        <f t="shared" si="26"/>
        <v>1500.54257064952</v>
      </c>
      <c r="J139" s="6" cm="1">
        <f t="array" ref="J139">INDEX(C$15:C$1004,E139*6-3)</f>
        <v>1.62635806191247e-5</v>
      </c>
      <c r="K139" s="7">
        <f t="shared" si="24"/>
        <v>1.62608235768857e-5</v>
      </c>
      <c r="L139" s="7">
        <f t="shared" si="16"/>
        <v>1500.28462805463</v>
      </c>
      <c r="M139" s="7">
        <f t="shared" si="18"/>
        <v>1500.53901448752</v>
      </c>
    </row>
    <row r="140" spans="1:13">
      <c r="A140">
        <v>1935431</v>
      </c>
      <c r="B140" t="s">
        <v>19</v>
      </c>
      <c r="C140" s="5">
        <v>3.05094909667968</v>
      </c>
      <c r="E140">
        <v>126</v>
      </c>
      <c r="F140" s="6" cm="1">
        <f t="array" ref="F140">INDEX(C$15:C$1004,E140*6-4)</f>
        <v>1.62600717885652e-5</v>
      </c>
      <c r="G140" s="7">
        <f t="shared" si="23"/>
        <v>1.62607377205858e-5</v>
      </c>
      <c r="H140" s="7">
        <f t="shared" si="25"/>
        <v>1500.60838090267</v>
      </c>
      <c r="I140" s="7">
        <f t="shared" si="26"/>
        <v>1500.54693516255</v>
      </c>
      <c r="J140" s="6" cm="1">
        <f t="array" ref="J140">INDEX(C$15:C$1004,E140*6-3)</f>
        <v>1.62565047503449e-5</v>
      </c>
      <c r="K140" s="7">
        <f t="shared" si="24"/>
        <v>1.62603841090458e-5</v>
      </c>
      <c r="L140" s="7">
        <f t="shared" si="16"/>
        <v>1500.9376477119</v>
      </c>
      <c r="M140" s="7">
        <f t="shared" si="18"/>
        <v>1500.57957889964</v>
      </c>
    </row>
    <row r="141" spans="1:13">
      <c r="A141">
        <v>1935676</v>
      </c>
      <c r="B141" t="s">
        <v>16</v>
      </c>
      <c r="C141" s="5">
        <v>4.769162842e-11</v>
      </c>
      <c r="E141">
        <v>127</v>
      </c>
      <c r="F141" s="6" cm="1">
        <f t="array" ref="F141">INDEX(C$15:C$1004,E141*6-4)</f>
        <v>1.62590858963085e-5</v>
      </c>
      <c r="G141" s="7">
        <f t="shared" si="23"/>
        <v>1.62603557328111e-5</v>
      </c>
      <c r="H141" s="7">
        <f t="shared" si="25"/>
        <v>1500.69937237614</v>
      </c>
      <c r="I141" s="7">
        <f t="shared" si="26"/>
        <v>1500.58218401794</v>
      </c>
      <c r="J141" s="6" cm="1">
        <f t="array" ref="J141">INDEX(C$15:C$1004,E141*6-3)</f>
        <v>1.62612886924762e-5</v>
      </c>
      <c r="K141" s="7">
        <f t="shared" si="24"/>
        <v>1.62606642334139e-5</v>
      </c>
      <c r="L141" s="7">
        <f t="shared" si="16"/>
        <v>1500.49608376299</v>
      </c>
      <c r="M141" s="7">
        <f t="shared" si="18"/>
        <v>1500.55372621693</v>
      </c>
    </row>
    <row r="142" spans="1:13">
      <c r="A142">
        <v>1935677</v>
      </c>
      <c r="B142" t="s">
        <v>13</v>
      </c>
      <c r="C142" s="5">
        <v>1.62604410434141e-5</v>
      </c>
      <c r="E142">
        <v>128</v>
      </c>
      <c r="F142" s="6" cm="1">
        <f t="array" ref="F142">INDEX(C$15:C$1004,E142*6-4)</f>
        <v>1.62624583026627e-5</v>
      </c>
      <c r="G142" s="7">
        <f t="shared" si="23"/>
        <v>1.62604726938297e-5</v>
      </c>
      <c r="H142" s="7">
        <f t="shared" si="25"/>
        <v>1500.3881667758</v>
      </c>
      <c r="I142" s="7">
        <f t="shared" si="26"/>
        <v>1500.57139231922</v>
      </c>
      <c r="J142" s="6" cm="1">
        <f t="array" ref="J142">INDEX(C$15:C$1004,E142*6-3)</f>
        <v>1.62612886924762e-5</v>
      </c>
      <c r="K142" s="7">
        <f t="shared" si="24"/>
        <v>1.6260804295598e-5</v>
      </c>
      <c r="L142" s="7">
        <f t="shared" si="16"/>
        <v>1500.49608376299</v>
      </c>
      <c r="M142" s="7">
        <f t="shared" si="18"/>
        <v>1500.54080098905</v>
      </c>
    </row>
    <row r="143" spans="1:13">
      <c r="A143">
        <v>1935678</v>
      </c>
      <c r="B143" t="s">
        <v>15</v>
      </c>
      <c r="C143" s="5">
        <v>1.62584874487947e-5</v>
      </c>
      <c r="E143">
        <v>129</v>
      </c>
      <c r="F143" s="6" cm="1">
        <f t="array" ref="F143">INDEX(C$15:C$1004,E143*6-4)</f>
        <v>1.62612886924762e-5</v>
      </c>
      <c r="G143" s="7">
        <f t="shared" si="23"/>
        <v>1.62606624144245e-5</v>
      </c>
      <c r="H143" s="7">
        <f t="shared" si="25"/>
        <v>1500.49608376299</v>
      </c>
      <c r="I143" s="7">
        <f t="shared" si="26"/>
        <v>1500.55388397582</v>
      </c>
      <c r="J143" s="6" cm="1">
        <f t="array" ref="J143">INDEX(C$15:C$1004,E143*6-3)</f>
        <v>1.62635806191247e-5</v>
      </c>
      <c r="K143" s="7">
        <f t="shared" si="24"/>
        <v>1.62609165272442e-5</v>
      </c>
      <c r="L143" s="7">
        <f t="shared" ref="L143:L179" si="27">24.4/J143/1000</f>
        <v>1500.28462805463</v>
      </c>
      <c r="M143" s="7">
        <f t="shared" si="18"/>
        <v>1500.53044711693</v>
      </c>
    </row>
    <row r="144" spans="1:13">
      <c r="A144">
        <v>1935679</v>
      </c>
      <c r="B144" t="s">
        <v>17</v>
      </c>
      <c r="C144" s="5">
        <v>2.29850769042968</v>
      </c>
      <c r="E144">
        <v>130</v>
      </c>
      <c r="F144" s="6" cm="1">
        <f t="array" ref="F144">INDEX(C$15:C$1004,E144*6-4)</f>
        <v>1.62597207236103e-5</v>
      </c>
      <c r="G144" s="7">
        <f t="shared" si="23"/>
        <v>1.62605800142045e-5</v>
      </c>
      <c r="H144" s="7">
        <f t="shared" si="25"/>
        <v>1500.64078066048</v>
      </c>
      <c r="I144" s="7">
        <f t="shared" si="26"/>
        <v>1500.56148846464</v>
      </c>
      <c r="J144" s="6" cm="1">
        <f t="array" ref="J144">INDEX(C$15:C$1004,E144*6-3)</f>
        <v>1.62638898473233e-5</v>
      </c>
      <c r="K144" s="7">
        <f t="shared" si="24"/>
        <v>1.62611015184666e-5</v>
      </c>
      <c r="L144" s="7">
        <f t="shared" si="27"/>
        <v>1500.25610287909</v>
      </c>
      <c r="M144" s="7">
        <f t="shared" si="18"/>
        <v>1500.51338073341</v>
      </c>
    </row>
    <row r="145" spans="1:13">
      <c r="A145">
        <v>1935680</v>
      </c>
      <c r="B145" t="s">
        <v>18</v>
      </c>
      <c r="C145" s="5">
        <v>0</v>
      </c>
      <c r="E145">
        <v>131</v>
      </c>
      <c r="F145" s="6" cm="1">
        <f t="array" ref="F145">INDEX(C$15:C$1004,E145*6-4)</f>
        <v>1.62602045747917e-5</v>
      </c>
      <c r="G145" s="7">
        <f t="shared" si="23"/>
        <v>1.62603964781737e-5</v>
      </c>
      <c r="H145" s="7">
        <f t="shared" si="25"/>
        <v>1500.59612643665</v>
      </c>
      <c r="I145" s="7">
        <f t="shared" si="26"/>
        <v>1500.57842443687</v>
      </c>
      <c r="J145" s="6" cm="1">
        <f t="array" ref="J145">INDEX(C$15:C$1004,E145*6-3)</f>
        <v>1.62631422426784e-5</v>
      </c>
      <c r="K145" s="7">
        <f t="shared" si="24"/>
        <v>1.62614436703734e-5</v>
      </c>
      <c r="L145" s="7">
        <f t="shared" si="27"/>
        <v>1500.32506854478</v>
      </c>
      <c r="M145" s="7">
        <f t="shared" si="18"/>
        <v>1500.48180952184</v>
      </c>
    </row>
    <row r="146" spans="1:13">
      <c r="A146">
        <v>1935681</v>
      </c>
      <c r="B146" t="s">
        <v>19</v>
      </c>
      <c r="C146" s="5">
        <v>2.29850769042968</v>
      </c>
      <c r="E146">
        <v>132</v>
      </c>
      <c r="F146" s="6" cm="1">
        <f t="array" ref="F146">INDEX(C$15:C$1004,E146*6-4)</f>
        <v>1.62624583026627e-5</v>
      </c>
      <c r="G146" s="7">
        <f t="shared" si="23"/>
        <v>1.626043831493e-5</v>
      </c>
      <c r="H146" s="7">
        <f t="shared" si="25"/>
        <v>1500.3881667758</v>
      </c>
      <c r="I146" s="7">
        <f t="shared" si="26"/>
        <v>1500.57456444303</v>
      </c>
      <c r="J146" s="6" cm="1">
        <f t="array" ref="J146">INDEX(C$15:C$1004,E146*6-3)</f>
        <v>1.62605447258101e-5</v>
      </c>
      <c r="K146" s="7">
        <f t="shared" si="24"/>
        <v>1.62614436703734e-5</v>
      </c>
      <c r="L146" s="7">
        <f t="shared" si="27"/>
        <v>1500.56473577237</v>
      </c>
      <c r="M146" s="7">
        <f t="shared" si="18"/>
        <v>1500.48180952184</v>
      </c>
    </row>
    <row r="147" spans="1:13">
      <c r="A147">
        <v>1935925</v>
      </c>
      <c r="B147" t="s">
        <v>16</v>
      </c>
      <c r="C147" s="5">
        <v>1.489297574e-11</v>
      </c>
      <c r="E147">
        <v>133</v>
      </c>
      <c r="F147" s="6" cm="1">
        <f t="array" ref="F147">INDEX(C$15:C$1004,E147*6-4)</f>
        <v>1.62608994287438e-5</v>
      </c>
      <c r="G147" s="7">
        <f t="shared" si="23"/>
        <v>1.62605891091516e-5</v>
      </c>
      <c r="H147" s="7">
        <f t="shared" si="25"/>
        <v>1500.53200359071</v>
      </c>
      <c r="I147" s="7">
        <f t="shared" si="26"/>
        <v>1500.56064808241</v>
      </c>
      <c r="J147" s="6" cm="1">
        <f t="array" ref="J147">INDEX(C$15:C$1004,E147*6-3)</f>
        <v>1.62593914865283e-5</v>
      </c>
      <c r="K147" s="7">
        <f t="shared" si="24"/>
        <v>1.62613283464452e-5</v>
      </c>
      <c r="L147" s="7">
        <f t="shared" si="27"/>
        <v>1500.67116719691</v>
      </c>
      <c r="M147" s="7">
        <f t="shared" si="18"/>
        <v>1500.4924526643</v>
      </c>
    </row>
    <row r="148" spans="1:13">
      <c r="A148">
        <v>1935927</v>
      </c>
      <c r="B148" t="s">
        <v>13</v>
      </c>
      <c r="C148" s="5">
        <v>1.62629057740559e-5</v>
      </c>
      <c r="E148">
        <v>134</v>
      </c>
      <c r="F148" s="6" cm="1">
        <f t="array" ref="F148">INDEX(C$15:C$1004,E148*6-4)</f>
        <v>1.62600717885652e-5</v>
      </c>
      <c r="G148" s="7">
        <f t="shared" si="23"/>
        <v>1.6260715892713e-5</v>
      </c>
      <c r="H148" s="7">
        <f t="shared" si="25"/>
        <v>1500.60838090267</v>
      </c>
      <c r="I148" s="7">
        <f t="shared" si="26"/>
        <v>1500.54894657746</v>
      </c>
      <c r="J148" s="6" cm="1">
        <f t="array" ref="J148">INDEX(C$15:C$1004,E148*6-3)</f>
        <v>1.62631422426784e-5</v>
      </c>
      <c r="K148" s="7">
        <f t="shared" si="24"/>
        <v>1.62616353918565e-5</v>
      </c>
      <c r="L148" s="7">
        <f t="shared" si="27"/>
        <v>1500.32506854478</v>
      </c>
      <c r="M148" s="7">
        <f t="shared" si="18"/>
        <v>1500.46412142851</v>
      </c>
    </row>
    <row r="149" spans="1:13">
      <c r="A149">
        <v>1935928</v>
      </c>
      <c r="B149" t="s">
        <v>15</v>
      </c>
      <c r="C149" s="5">
        <v>1.6264564692392e-5</v>
      </c>
      <c r="E149">
        <v>135</v>
      </c>
      <c r="F149" s="6" cm="1">
        <f t="array" ref="F149">INDEX(C$15:C$1004,E149*6-4)</f>
        <v>1.62593914865283e-5</v>
      </c>
      <c r="G149" s="7">
        <f t="shared" si="23"/>
        <v>1.62605650984915e-5</v>
      </c>
      <c r="H149" s="7">
        <f t="shared" si="25"/>
        <v>1500.67116719691</v>
      </c>
      <c r="I149" s="7">
        <f t="shared" si="26"/>
        <v>1500.56286293808</v>
      </c>
      <c r="J149" s="6" cm="1">
        <f t="array" ref="J149">INDEX(C$15:C$1004,E149*6-3)</f>
        <v>1.62590858963085e-5</v>
      </c>
      <c r="K149" s="7">
        <f t="shared" si="24"/>
        <v>1.62611859195749e-5</v>
      </c>
      <c r="L149" s="7">
        <f t="shared" si="27"/>
        <v>1500.69937237614</v>
      </c>
      <c r="M149" s="7">
        <f t="shared" si="18"/>
        <v>1500.50559586066</v>
      </c>
    </row>
    <row r="150" spans="1:13">
      <c r="A150">
        <v>1935929</v>
      </c>
      <c r="B150" t="s">
        <v>17</v>
      </c>
      <c r="C150" s="5">
        <v>0.717239379882812</v>
      </c>
      <c r="E150">
        <v>136</v>
      </c>
      <c r="F150" s="6" cm="1">
        <f t="array" ref="F150">INDEX(C$15:C$1004,E150*6-4)</f>
        <v>1.62621381605276e-5</v>
      </c>
      <c r="G150" s="7">
        <f t="shared" si="23"/>
        <v>1.62607717356877e-5</v>
      </c>
      <c r="H150" s="7">
        <f t="shared" si="25"/>
        <v>1500.41770394161</v>
      </c>
      <c r="I150" s="7">
        <f t="shared" si="26"/>
        <v>1500.54379524198</v>
      </c>
      <c r="J150" s="6" cm="1">
        <f t="array" ref="J150">INDEX(C$15:C$1004,E150*6-3)</f>
        <v>1.62605447258101e-5</v>
      </c>
      <c r="K150" s="7">
        <f t="shared" si="24"/>
        <v>1.62615899171214e-5</v>
      </c>
      <c r="L150" s="7">
        <f t="shared" si="27"/>
        <v>1500.56473577237</v>
      </c>
      <c r="M150" s="7">
        <f t="shared" si="18"/>
        <v>1500.46830466671</v>
      </c>
    </row>
    <row r="151" spans="1:13">
      <c r="A151">
        <v>1935930</v>
      </c>
      <c r="B151" t="s">
        <v>18</v>
      </c>
      <c r="C151" s="5">
        <v>0</v>
      </c>
      <c r="E151">
        <v>137</v>
      </c>
      <c r="F151" s="6" cm="1">
        <f t="array" ref="F151">INDEX(C$15:C$1004,E151*6-4)</f>
        <v>1.62593914865283e-5</v>
      </c>
      <c r="G151" s="7">
        <f t="shared" si="23"/>
        <v>1.62608022947097e-5</v>
      </c>
      <c r="H151" s="7">
        <f t="shared" si="25"/>
        <v>1500.67116719691</v>
      </c>
      <c r="I151" s="7">
        <f t="shared" si="26"/>
        <v>1500.54097472406</v>
      </c>
      <c r="J151" s="6" cm="1">
        <f t="array" ref="J151">INDEX(C$15:C$1004,E151*6-3)</f>
        <v>1.62620399350998e-5</v>
      </c>
      <c r="K151" s="7">
        <f t="shared" si="24"/>
        <v>1.62616650413838e-5</v>
      </c>
      <c r="L151" s="7">
        <f t="shared" si="27"/>
        <v>1500.42676671426</v>
      </c>
      <c r="M151" s="7">
        <f t="shared" si="18"/>
        <v>1500.46137296183</v>
      </c>
    </row>
    <row r="152" spans="1:13">
      <c r="A152">
        <v>1935931</v>
      </c>
      <c r="B152" t="s">
        <v>19</v>
      </c>
      <c r="C152" s="5">
        <v>0.717239379882812</v>
      </c>
      <c r="E152">
        <v>138</v>
      </c>
      <c r="F152" s="6" cm="1">
        <f t="array" ref="F152">INDEX(C$15:C$1004,E152*6-4)</f>
        <v>1.62590858963085e-5</v>
      </c>
      <c r="G152" s="7">
        <f t="shared" si="23"/>
        <v>1.62604650540743e-5</v>
      </c>
      <c r="H152" s="7">
        <f t="shared" si="25"/>
        <v>1500.69937237614</v>
      </c>
      <c r="I152" s="7">
        <f t="shared" si="26"/>
        <v>1500.57209528409</v>
      </c>
      <c r="J152" s="6" cm="1">
        <f t="array" ref="J152">INDEX(C$15:C$1004,E152*6-3)</f>
        <v>1.62633787113009e-5</v>
      </c>
      <c r="K152" s="7">
        <f t="shared" si="24"/>
        <v>1.62618740432662e-5</v>
      </c>
      <c r="L152" s="7">
        <f t="shared" si="27"/>
        <v>1500.30325390168</v>
      </c>
      <c r="M152" s="7">
        <f t="shared" ref="M152:M179" si="28">AVERAGE(L143:L152)</f>
        <v>1500.4420899757</v>
      </c>
    </row>
    <row r="153" spans="1:13">
      <c r="A153">
        <v>1936176</v>
      </c>
      <c r="B153" t="s">
        <v>16</v>
      </c>
      <c r="C153" s="5">
        <v>1.38697942e-11</v>
      </c>
      <c r="E153">
        <v>139</v>
      </c>
      <c r="F153" s="6" cm="1">
        <f t="array" ref="F153">INDEX(C$15:C$1004,E153*6-4)</f>
        <v>1.62604410434141e-5</v>
      </c>
      <c r="G153" s="7">
        <f t="shared" ref="G153:G179" si="29">AVERAGE(F144:F153)</f>
        <v>1.62603802891681e-5</v>
      </c>
      <c r="H153" s="7">
        <f t="shared" si="25"/>
        <v>1500.57430391057</v>
      </c>
      <c r="I153" s="7">
        <f t="shared" si="26"/>
        <v>1500.57991729885</v>
      </c>
      <c r="J153" s="6" cm="1">
        <f t="array" ref="J153">INDEX(C$15:C$1004,E153*6-3)</f>
        <v>1.62616997840814e-5</v>
      </c>
      <c r="K153" s="7">
        <f t="shared" ref="K153:K179" si="30">AVERAGE(J144:J153)</f>
        <v>1.62616859597619e-5</v>
      </c>
      <c r="L153" s="7">
        <f t="shared" si="27"/>
        <v>1500.45815160634</v>
      </c>
      <c r="M153" s="7">
        <f t="shared" si="28"/>
        <v>1500.45944233087</v>
      </c>
    </row>
    <row r="154" spans="1:13">
      <c r="A154">
        <v>1936177</v>
      </c>
      <c r="B154" t="s">
        <v>13</v>
      </c>
      <c r="C154" s="5">
        <v>1.62638898473233e-5</v>
      </c>
      <c r="E154">
        <v>140</v>
      </c>
      <c r="F154" s="6" cm="1">
        <f t="array" ref="F154">INDEX(C$15:C$1004,E154*6-4)</f>
        <v>1.62584874487947e-5</v>
      </c>
      <c r="G154" s="7">
        <f t="shared" si="29"/>
        <v>1.62602569616865e-5</v>
      </c>
      <c r="H154" s="7">
        <f t="shared" si="25"/>
        <v>1500.7546105901</v>
      </c>
      <c r="I154" s="7">
        <f t="shared" si="26"/>
        <v>1500.59130029181</v>
      </c>
      <c r="J154" s="6" cm="1">
        <f t="array" ref="J154">INDEX(C$15:C$1004,E154*6-3)</f>
        <v>1.62602045747917e-5</v>
      </c>
      <c r="K154" s="7">
        <f t="shared" si="30"/>
        <v>1.62613174325088e-5</v>
      </c>
      <c r="L154" s="7">
        <f t="shared" si="27"/>
        <v>1500.59612643665</v>
      </c>
      <c r="M154" s="7">
        <f t="shared" si="28"/>
        <v>1500.49344468663</v>
      </c>
    </row>
    <row r="155" spans="1:13">
      <c r="A155">
        <v>1936178</v>
      </c>
      <c r="B155" t="s">
        <v>15</v>
      </c>
      <c r="C155" s="5">
        <v>1.62612886924762e-5</v>
      </c>
      <c r="E155">
        <v>141</v>
      </c>
      <c r="F155" s="6" cm="1">
        <f t="array" ref="F155">INDEX(C$15:C$1004,E155*6-4)</f>
        <v>1.62624583026627e-5</v>
      </c>
      <c r="G155" s="7">
        <f t="shared" si="29"/>
        <v>1.62604823344736e-5</v>
      </c>
      <c r="H155" s="7">
        <f t="shared" si="25"/>
        <v>1500.3881667758</v>
      </c>
      <c r="I155" s="7">
        <f t="shared" si="26"/>
        <v>1500.57050432572</v>
      </c>
      <c r="J155" s="6" cm="1">
        <f t="array" ref="J155">INDEX(C$15:C$1004,E155*6-3)</f>
        <v>1.62597207236103e-5</v>
      </c>
      <c r="K155" s="7">
        <f t="shared" si="30"/>
        <v>1.62609752806019e-5</v>
      </c>
      <c r="L155" s="7">
        <f t="shared" si="27"/>
        <v>1500.64078066048</v>
      </c>
      <c r="M155" s="7">
        <f t="shared" si="28"/>
        <v>1500.5250158982</v>
      </c>
    </row>
    <row r="156" spans="1:13">
      <c r="A156">
        <v>1936179</v>
      </c>
      <c r="B156" t="s">
        <v>17</v>
      </c>
      <c r="C156" s="5">
        <v>0.668045043945312</v>
      </c>
      <c r="E156">
        <v>142</v>
      </c>
      <c r="F156" s="6" cm="1">
        <f t="array" ref="F156">INDEX(C$15:C$1004,E156*6-4)</f>
        <v>1.62629057740559e-5</v>
      </c>
      <c r="G156" s="7">
        <f t="shared" si="29"/>
        <v>1.62605270816129e-5</v>
      </c>
      <c r="H156" s="7">
        <f t="shared" si="25"/>
        <v>1500.34688382227</v>
      </c>
      <c r="I156" s="7">
        <f t="shared" si="26"/>
        <v>1500.56637603037</v>
      </c>
      <c r="J156" s="6" cm="1">
        <f t="array" ref="J156">INDEX(C$15:C$1004,E156*6-3)</f>
        <v>1.62576761795207e-5</v>
      </c>
      <c r="K156" s="7">
        <f t="shared" si="30"/>
        <v>1.6260688425973e-5</v>
      </c>
      <c r="L156" s="7">
        <f t="shared" si="27"/>
        <v>1500.82949928206</v>
      </c>
      <c r="M156" s="7">
        <f t="shared" si="28"/>
        <v>1500.55149224917</v>
      </c>
    </row>
    <row r="157" spans="1:13">
      <c r="A157">
        <v>1936180</v>
      </c>
      <c r="B157" t="s">
        <v>18</v>
      </c>
      <c r="C157" s="5">
        <v>0</v>
      </c>
      <c r="E157">
        <v>143</v>
      </c>
      <c r="F157" s="6" cm="1">
        <f t="array" ref="F157">INDEX(C$15:C$1004,E157*6-4)</f>
        <v>1.62605447258101e-5</v>
      </c>
      <c r="G157" s="7">
        <f t="shared" si="29"/>
        <v>1.62604916113195e-5</v>
      </c>
      <c r="H157" s="7">
        <f t="shared" si="25"/>
        <v>1500.56473577237</v>
      </c>
      <c r="I157" s="7">
        <f t="shared" si="26"/>
        <v>1500.56964924854</v>
      </c>
      <c r="J157" s="6" cm="1">
        <f t="array" ref="J157">INDEX(C$15:C$1004,E157*6-3)</f>
        <v>1.62593914865283e-5</v>
      </c>
      <c r="K157" s="7">
        <f t="shared" si="30"/>
        <v>1.6260688425973e-5</v>
      </c>
      <c r="L157" s="7">
        <f t="shared" si="27"/>
        <v>1500.67116719691</v>
      </c>
      <c r="M157" s="7">
        <f t="shared" si="28"/>
        <v>1500.55149224917</v>
      </c>
    </row>
    <row r="158" spans="1:13">
      <c r="A158">
        <v>1936181</v>
      </c>
      <c r="B158" t="s">
        <v>19</v>
      </c>
      <c r="C158" s="5">
        <v>0.668045043945312</v>
      </c>
      <c r="E158">
        <v>144</v>
      </c>
      <c r="F158" s="6" cm="1">
        <f t="array" ref="F158">INDEX(C$15:C$1004,E158*6-4)</f>
        <v>1.62588039529509e-5</v>
      </c>
      <c r="G158" s="7">
        <f t="shared" si="29"/>
        <v>1.62603648277581e-5</v>
      </c>
      <c r="H158" s="7">
        <f t="shared" si="25"/>
        <v>1500.72539595211</v>
      </c>
      <c r="I158" s="7">
        <f t="shared" si="26"/>
        <v>1500.58135075348</v>
      </c>
      <c r="J158" s="6" cm="1">
        <f t="array" ref="J158">INDEX(C$15:C$1004,E158*6-3)</f>
        <v>1.62633787113009e-5</v>
      </c>
      <c r="K158" s="7">
        <f t="shared" si="30"/>
        <v>1.62607120728353e-5</v>
      </c>
      <c r="L158" s="7">
        <f t="shared" si="27"/>
        <v>1500.30325390168</v>
      </c>
      <c r="M158" s="7">
        <f t="shared" si="28"/>
        <v>1500.54931078486</v>
      </c>
    </row>
    <row r="159" spans="1:13">
      <c r="A159">
        <v>1936426</v>
      </c>
      <c r="B159" t="s">
        <v>16</v>
      </c>
      <c r="C159" s="5">
        <v>2.01794137e-11</v>
      </c>
      <c r="E159">
        <v>145</v>
      </c>
      <c r="F159" s="6" cm="1">
        <f t="array" ref="F159">INDEX(C$15:C$1004,E159*6-4)</f>
        <v>1.62588039529509e-5</v>
      </c>
      <c r="G159" s="7">
        <f t="shared" si="29"/>
        <v>1.62603060744004e-5</v>
      </c>
      <c r="H159" s="7">
        <f t="shared" si="25"/>
        <v>1500.72539595211</v>
      </c>
      <c r="I159" s="7">
        <f t="shared" si="26"/>
        <v>1500.586773629</v>
      </c>
      <c r="J159" s="6" cm="1">
        <f t="array" ref="J159">INDEX(C$15:C$1004,E159*6-3)</f>
        <v>1.62651067512342e-5</v>
      </c>
      <c r="K159" s="7">
        <f t="shared" si="30"/>
        <v>1.62613141583278e-5</v>
      </c>
      <c r="L159" s="7">
        <f t="shared" si="27"/>
        <v>1500.14385845629</v>
      </c>
      <c r="M159" s="7">
        <f t="shared" si="28"/>
        <v>1500.49375939287</v>
      </c>
    </row>
    <row r="160" spans="1:13">
      <c r="A160">
        <v>1936427</v>
      </c>
      <c r="B160" t="s">
        <v>13</v>
      </c>
      <c r="C160" s="5">
        <v>1.62635806191247e-5</v>
      </c>
      <c r="E160">
        <v>146</v>
      </c>
      <c r="F160" s="6" cm="1">
        <f t="array" ref="F160">INDEX(C$15:C$1004,E160*6-4)</f>
        <v>1.62590858963085e-5</v>
      </c>
      <c r="G160" s="7">
        <f t="shared" si="29"/>
        <v>1.62600008479785e-5</v>
      </c>
      <c r="H160" s="7">
        <f t="shared" si="25"/>
        <v>1500.69937237614</v>
      </c>
      <c r="I160" s="7">
        <f t="shared" si="26"/>
        <v>1500.61494047245</v>
      </c>
      <c r="J160" s="6" cm="1">
        <f t="array" ref="J160">INDEX(C$15:C$1004,E160*6-3)</f>
        <v>1.62600717885652e-5</v>
      </c>
      <c r="K160" s="7">
        <f t="shared" si="30"/>
        <v>1.62612668646033e-5</v>
      </c>
      <c r="L160" s="7">
        <f t="shared" si="27"/>
        <v>1500.60838090267</v>
      </c>
      <c r="M160" s="7">
        <f t="shared" si="28"/>
        <v>1500.4981239059</v>
      </c>
    </row>
    <row r="161" spans="1:13">
      <c r="A161">
        <v>1936428</v>
      </c>
      <c r="B161" t="s">
        <v>15</v>
      </c>
      <c r="C161" s="5">
        <v>1.62620399350998e-5</v>
      </c>
      <c r="E161">
        <v>147</v>
      </c>
      <c r="F161" s="6" cm="1">
        <f t="array" ref="F161">INDEX(C$15:C$1004,E161*6-4)</f>
        <v>1.62640535563696e-5</v>
      </c>
      <c r="G161" s="7">
        <f t="shared" si="29"/>
        <v>1.62604670549626e-5</v>
      </c>
      <c r="H161" s="7">
        <f t="shared" si="25"/>
        <v>1500.2410017547</v>
      </c>
      <c r="I161" s="7">
        <f t="shared" si="26"/>
        <v>1500.57192392823</v>
      </c>
      <c r="J161" s="6" cm="1">
        <f t="array" ref="J161">INDEX(C$15:C$1004,E161*6-3)</f>
        <v>1.62633787113009e-5</v>
      </c>
      <c r="K161" s="7">
        <f t="shared" si="30"/>
        <v>1.62614007422235e-5</v>
      </c>
      <c r="L161" s="7">
        <f t="shared" si="27"/>
        <v>1500.30325390168</v>
      </c>
      <c r="M161" s="7">
        <f t="shared" si="28"/>
        <v>1500.48577262465</v>
      </c>
    </row>
    <row r="162" spans="1:13">
      <c r="A162">
        <v>1936429</v>
      </c>
      <c r="B162" t="s">
        <v>17</v>
      </c>
      <c r="C162" s="5">
        <v>0.972122192382812</v>
      </c>
      <c r="E162">
        <v>148</v>
      </c>
      <c r="F162" s="6" cm="1">
        <f t="array" ref="F162">INDEX(C$15:C$1004,E162*6-4)</f>
        <v>1.62600717885652e-5</v>
      </c>
      <c r="G162" s="7">
        <f t="shared" si="29"/>
        <v>1.62605656441883e-5</v>
      </c>
      <c r="H162" s="7">
        <f t="shared" ref="H162:H179" si="31">24.4/F162/1000</f>
        <v>1500.60838090267</v>
      </c>
      <c r="I162" s="7">
        <f t="shared" si="26"/>
        <v>1500.56282478089</v>
      </c>
      <c r="J162" s="6" cm="1">
        <f t="array" ref="J162">INDEX(C$15:C$1004,E162*6-3)</f>
        <v>1.62590858963085e-5</v>
      </c>
      <c r="K162" s="7">
        <f t="shared" si="30"/>
        <v>1.62609714607242e-5</v>
      </c>
      <c r="L162" s="7">
        <f t="shared" si="27"/>
        <v>1500.69937237614</v>
      </c>
      <c r="M162" s="7">
        <f t="shared" si="28"/>
        <v>1500.52538447209</v>
      </c>
    </row>
    <row r="163" spans="1:13">
      <c r="A163">
        <v>1936430</v>
      </c>
      <c r="B163" t="s">
        <v>18</v>
      </c>
      <c r="C163" s="5">
        <v>0</v>
      </c>
      <c r="E163">
        <v>149</v>
      </c>
      <c r="F163" s="6" cm="1">
        <f t="array" ref="F163">INDEX(C$15:C$1004,E163*6-4)</f>
        <v>1.62640535563696e-5</v>
      </c>
      <c r="G163" s="7">
        <f t="shared" si="29"/>
        <v>1.62609268954838e-5</v>
      </c>
      <c r="H163" s="7">
        <f t="shared" si="31"/>
        <v>1500.2410017547</v>
      </c>
      <c r="I163" s="7">
        <f t="shared" si="26"/>
        <v>1500.5294945653</v>
      </c>
      <c r="J163" s="6" cm="1">
        <f t="array" ref="J163">INDEX(C$15:C$1004,E163*6-3)</f>
        <v>1.62567212100839e-5</v>
      </c>
      <c r="K163" s="7">
        <f t="shared" si="30"/>
        <v>1.62604736033245e-5</v>
      </c>
      <c r="L163" s="7">
        <f t="shared" si="27"/>
        <v>1500.91766258899</v>
      </c>
      <c r="M163" s="7">
        <f t="shared" si="28"/>
        <v>1500.57133557036</v>
      </c>
    </row>
    <row r="164" spans="1:13">
      <c r="A164">
        <v>1936431</v>
      </c>
      <c r="B164" t="s">
        <v>19</v>
      </c>
      <c r="C164" s="5">
        <v>0.972122192382812</v>
      </c>
      <c r="E164">
        <v>150</v>
      </c>
      <c r="F164" s="6" cm="1">
        <f t="array" ref="F164">INDEX(C$15:C$1004,E164*6-4)</f>
        <v>1.62620399350998e-5</v>
      </c>
      <c r="G164" s="7">
        <f t="shared" si="29"/>
        <v>1.62612821441143e-5</v>
      </c>
      <c r="H164" s="7">
        <f t="shared" si="31"/>
        <v>1500.42676671426</v>
      </c>
      <c r="I164" s="7">
        <f t="shared" si="26"/>
        <v>1500.49671017771</v>
      </c>
      <c r="J164" s="6" cm="1">
        <f t="array" ref="J164">INDEX(C$15:C$1004,E164*6-3)</f>
        <v>1.62602045747917e-5</v>
      </c>
      <c r="K164" s="7">
        <f t="shared" si="30"/>
        <v>1.62604736033245e-5</v>
      </c>
      <c r="L164" s="7">
        <f t="shared" si="27"/>
        <v>1500.59612643665</v>
      </c>
      <c r="M164" s="7">
        <f t="shared" si="28"/>
        <v>1500.57133557036</v>
      </c>
    </row>
    <row r="165" spans="1:13">
      <c r="A165">
        <v>1936676</v>
      </c>
      <c r="B165" t="s">
        <v>16</v>
      </c>
      <c r="C165" s="5">
        <v>4.075673132e-11</v>
      </c>
      <c r="E165">
        <v>151</v>
      </c>
      <c r="F165" s="6" cm="1">
        <f t="array" ref="F165">INDEX(C$15:C$1004,E165*6-4)</f>
        <v>1.62624583026627e-5</v>
      </c>
      <c r="G165" s="7">
        <f t="shared" si="29"/>
        <v>1.62612821441143e-5</v>
      </c>
      <c r="H165" s="7">
        <f t="shared" si="31"/>
        <v>1500.3881667758</v>
      </c>
      <c r="I165" s="7">
        <f t="shared" si="26"/>
        <v>1500.49671017771</v>
      </c>
      <c r="J165" s="6" cm="1">
        <f t="array" ref="J165">INDEX(C$15:C$1004,E165*6-3)</f>
        <v>1.62600717885652e-5</v>
      </c>
      <c r="K165" s="7">
        <f t="shared" si="30"/>
        <v>1.62605087098199e-5</v>
      </c>
      <c r="L165" s="7">
        <f t="shared" si="27"/>
        <v>1500.60838090267</v>
      </c>
      <c r="M165" s="7">
        <f t="shared" si="28"/>
        <v>1500.56809559458</v>
      </c>
    </row>
    <row r="166" spans="1:13">
      <c r="A166">
        <v>1936677</v>
      </c>
      <c r="B166" t="s">
        <v>13</v>
      </c>
      <c r="C166" s="5">
        <v>1.62662745424313e-5</v>
      </c>
      <c r="E166">
        <v>152</v>
      </c>
      <c r="F166" s="6" cm="1">
        <f t="array" ref="F166">INDEX(C$15:C$1004,E166*6-4)</f>
        <v>1.62612886924762e-5</v>
      </c>
      <c r="G166" s="7">
        <f t="shared" si="29"/>
        <v>1.62611204359564e-5</v>
      </c>
      <c r="H166" s="7">
        <f t="shared" si="31"/>
        <v>1500.49608376299</v>
      </c>
      <c r="I166" s="7">
        <f>AVERAGE(H157:H166)</f>
        <v>1500.51163017179</v>
      </c>
      <c r="J166" s="6" cm="1">
        <f t="array" ref="J166">INDEX(C$15:C$1004,E166*6-3)</f>
        <v>1.62605447258101e-5</v>
      </c>
      <c r="K166" s="7">
        <f t="shared" si="30"/>
        <v>1.62607955644489e-5</v>
      </c>
      <c r="L166" s="7">
        <f t="shared" si="27"/>
        <v>1500.56473577237</v>
      </c>
      <c r="M166" s="7">
        <f t="shared" si="28"/>
        <v>1500.54161924361</v>
      </c>
    </row>
    <row r="167" spans="1:13">
      <c r="A167">
        <v>1936678</v>
      </c>
      <c r="B167" t="s">
        <v>15</v>
      </c>
      <c r="C167" s="5">
        <v>1.62608994287438e-5</v>
      </c>
      <c r="E167">
        <v>153</v>
      </c>
      <c r="F167" s="6" cm="1">
        <f t="array" ref="F167">INDEX(C$15:C$1004,E167*6-4)</f>
        <v>1.62616997840814e-5</v>
      </c>
      <c r="G167" s="7">
        <f t="shared" si="29"/>
        <v>1.62612359417835e-5</v>
      </c>
      <c r="H167" s="7">
        <f t="shared" si="31"/>
        <v>1500.45815160634</v>
      </c>
      <c r="I167" s="7">
        <f>AVERAGE(H158:H167)</f>
        <v>1500.50097175518</v>
      </c>
      <c r="J167" s="6" cm="1">
        <f t="array" ref="J167">INDEX(C$15:C$1004,E167*6-3)</f>
        <v>1.62629057740559e-5</v>
      </c>
      <c r="K167" s="7">
        <f t="shared" si="30"/>
        <v>1.62611469932016e-5</v>
      </c>
      <c r="L167" s="7">
        <f t="shared" si="27"/>
        <v>1500.34688382227</v>
      </c>
      <c r="M167" s="7">
        <f t="shared" si="28"/>
        <v>1500.50919090614</v>
      </c>
    </row>
    <row r="168" spans="1:13">
      <c r="A168">
        <v>1936679</v>
      </c>
      <c r="B168" t="s">
        <v>17</v>
      </c>
      <c r="C168" s="5">
        <v>1.96331787109375</v>
      </c>
      <c r="E168">
        <v>154</v>
      </c>
      <c r="F168" s="6" cm="1">
        <f t="array" ref="F168">INDEX(C$15:C$1004,E168*6-4)</f>
        <v>1.62593914865283e-5</v>
      </c>
      <c r="G168" s="7">
        <f t="shared" si="29"/>
        <v>1.62612946951412e-5</v>
      </c>
      <c r="H168" s="7">
        <f t="shared" si="31"/>
        <v>1500.67116719691</v>
      </c>
      <c r="I168" s="7">
        <f>AVERAGE(H159:H168)</f>
        <v>1500.49554887966</v>
      </c>
      <c r="J168" s="6" cm="1">
        <f t="array" ref="J168">INDEX(C$15:C$1004,E168*6-3)</f>
        <v>1.6264564692392e-5</v>
      </c>
      <c r="K168" s="7">
        <f t="shared" si="30"/>
        <v>1.62612655913108e-5</v>
      </c>
      <c r="L168" s="7">
        <f t="shared" si="27"/>
        <v>1500.19385464484</v>
      </c>
      <c r="M168" s="7">
        <f t="shared" si="28"/>
        <v>1500.49825098046</v>
      </c>
    </row>
    <row r="169" spans="1:13">
      <c r="A169">
        <v>1936680</v>
      </c>
      <c r="B169" t="s">
        <v>18</v>
      </c>
      <c r="C169" s="5">
        <v>0</v>
      </c>
      <c r="E169">
        <v>155</v>
      </c>
      <c r="F169" s="6" cm="1">
        <f t="array" ref="F169">INDEX(C$15:C$1004,E169*6-4)</f>
        <v>1.62621381605276e-5</v>
      </c>
      <c r="G169" s="7">
        <f t="shared" si="29"/>
        <v>1.62616281158989e-5</v>
      </c>
      <c r="H169" s="7">
        <f t="shared" si="31"/>
        <v>1500.41770394161</v>
      </c>
      <c r="I169" s="7">
        <f>AVERAGE(H160:H169)</f>
        <v>1500.46477967861</v>
      </c>
      <c r="J169" s="6" cm="1">
        <f t="array" ref="J169">INDEX(C$15:C$1004,E169*6-3)</f>
        <v>1.62588039529509e-5</v>
      </c>
      <c r="K169" s="7">
        <f t="shared" si="30"/>
        <v>1.62606353114824e-5</v>
      </c>
      <c r="L169" s="7">
        <f t="shared" si="27"/>
        <v>1500.72539595211</v>
      </c>
      <c r="M169" s="7">
        <f t="shared" si="28"/>
        <v>1500.55640473004</v>
      </c>
    </row>
    <row r="170" spans="1:13">
      <c r="A170">
        <v>1936680</v>
      </c>
      <c r="B170" t="s">
        <v>19</v>
      </c>
      <c r="C170" s="5">
        <v>1.96331787109375</v>
      </c>
      <c r="E170">
        <v>156</v>
      </c>
      <c r="F170" s="6" cm="1">
        <f t="array" ref="F170">INDEX(C$15:C$1004,E170*6-4)</f>
        <v>1.62605447258101e-5</v>
      </c>
      <c r="G170" s="7">
        <f t="shared" si="29"/>
        <v>1.62617739988491e-5</v>
      </c>
      <c r="H170" s="7">
        <f t="shared" si="31"/>
        <v>1500.56473577237</v>
      </c>
      <c r="I170" s="7">
        <f>AVERAGE(H161:H170)</f>
        <v>1500.45131601824</v>
      </c>
      <c r="J170" s="6" cm="1">
        <f t="array" ref="J170">INDEX(C$15:C$1004,E170*6-3)</f>
        <v>1.62597207236103e-5</v>
      </c>
      <c r="K170" s="7">
        <f t="shared" si="30"/>
        <v>1.62606002049869e-5</v>
      </c>
      <c r="L170" s="7">
        <f t="shared" si="27"/>
        <v>1500.64078066048</v>
      </c>
      <c r="M170" s="7">
        <f t="shared" si="28"/>
        <v>1500.55964470582</v>
      </c>
    </row>
    <row r="171" spans="1:13">
      <c r="A171">
        <v>1936927</v>
      </c>
      <c r="B171" t="s">
        <v>16</v>
      </c>
      <c r="C171" s="5">
        <v>9.83391146e-12</v>
      </c>
      <c r="E171">
        <v>157</v>
      </c>
      <c r="F171" s="6" cm="1">
        <f t="array" ref="F171">INDEX(C$15:C$1004,E171*6-4)</f>
        <v>1.62616997840814e-5</v>
      </c>
      <c r="G171" s="7">
        <f t="shared" si="29"/>
        <v>1.62615386216202e-5</v>
      </c>
      <c r="H171" s="7">
        <f t="shared" si="31"/>
        <v>1500.45815160634</v>
      </c>
      <c r="I171" s="7">
        <f>AVERAGE(H162:H171)</f>
        <v>1500.4730310034</v>
      </c>
      <c r="J171" s="6" cm="1">
        <f t="array" ref="J171">INDEX(C$15:C$1004,E171*6-3)</f>
        <v>1.62600717885652e-5</v>
      </c>
      <c r="K171" s="7">
        <f t="shared" si="30"/>
        <v>1.62602695127134e-5</v>
      </c>
      <c r="L171" s="7">
        <f t="shared" si="27"/>
        <v>1500.60838090267</v>
      </c>
      <c r="M171" s="7">
        <f t="shared" si="28"/>
        <v>1500.59015740592</v>
      </c>
    </row>
    <row r="172" spans="1:13">
      <c r="A172">
        <v>1936928</v>
      </c>
      <c r="B172" t="s">
        <v>13</v>
      </c>
      <c r="C172" s="5">
        <v>1.62624583026627e-5</v>
      </c>
      <c r="E172">
        <v>158</v>
      </c>
      <c r="F172" s="6" cm="1">
        <f t="array" ref="F172">INDEX(C$15:C$1004,E172*6-4)</f>
        <v>1.62616997840814e-5</v>
      </c>
      <c r="G172" s="7">
        <f t="shared" si="29"/>
        <v>1.62617014211719e-5</v>
      </c>
      <c r="H172" s="7">
        <f t="shared" si="31"/>
        <v>1500.45815160634</v>
      </c>
      <c r="I172" s="7">
        <f>AVERAGE(H163:H172)</f>
        <v>1500.45800807377</v>
      </c>
      <c r="J172" s="6" cm="1">
        <f t="array" ref="J172">INDEX(C$15:C$1004,E172*6-3)</f>
        <v>1.62629057740559e-5</v>
      </c>
      <c r="K172" s="7">
        <f t="shared" si="30"/>
        <v>1.62606515004881e-5</v>
      </c>
      <c r="L172" s="7">
        <f t="shared" si="27"/>
        <v>1500.34688382227</v>
      </c>
      <c r="M172" s="7">
        <f t="shared" si="28"/>
        <v>1500.55490855053</v>
      </c>
    </row>
    <row r="173" spans="1:13">
      <c r="A173">
        <v>1936929</v>
      </c>
      <c r="B173" t="s">
        <v>15</v>
      </c>
      <c r="C173" s="5">
        <v>1.62590858963085e-5</v>
      </c>
      <c r="E173">
        <v>159</v>
      </c>
      <c r="F173" s="6" cm="1">
        <f t="array" ref="F173">INDEX(C$15:C$1004,E173*6-4)</f>
        <v>1.62608994287438e-5</v>
      </c>
      <c r="G173" s="7">
        <f t="shared" si="29"/>
        <v>1.62613860084093e-5</v>
      </c>
      <c r="H173" s="7">
        <f t="shared" si="31"/>
        <v>1500.53200359071</v>
      </c>
      <c r="I173" s="7">
        <f>AVERAGE(H164:H173)</f>
        <v>1500.48710825737</v>
      </c>
      <c r="J173" s="6" cm="1">
        <f t="array" ref="J173">INDEX(C$15:C$1004,E173*6-3)</f>
        <v>1.62605447258101e-5</v>
      </c>
      <c r="K173" s="7">
        <f t="shared" si="30"/>
        <v>1.62610338520607e-5</v>
      </c>
      <c r="L173" s="7">
        <f t="shared" si="27"/>
        <v>1500.56473577237</v>
      </c>
      <c r="M173" s="7">
        <f t="shared" si="28"/>
        <v>1500.51961586887</v>
      </c>
    </row>
    <row r="174" spans="1:13">
      <c r="A174">
        <v>1936930</v>
      </c>
      <c r="B174" t="s">
        <v>17</v>
      </c>
      <c r="C174" s="5">
        <v>0.47381591796875</v>
      </c>
      <c r="E174">
        <v>160</v>
      </c>
      <c r="F174" s="6" cm="1">
        <f t="array" ref="F174">INDEX(C$15:C$1004,E174*6-4)</f>
        <v>1.62608994287438e-5</v>
      </c>
      <c r="G174" s="7">
        <f t="shared" si="29"/>
        <v>1.62612719577737e-5</v>
      </c>
      <c r="H174" s="7">
        <f t="shared" si="31"/>
        <v>1500.53200359071</v>
      </c>
      <c r="I174" s="7">
        <f>AVERAGE(H165:H174)</f>
        <v>1500.49763194501</v>
      </c>
      <c r="J174" s="6" cm="1">
        <f t="array" ref="J174">INDEX(C$15:C$1004,E174*6-3)</f>
        <v>1.62621381605276e-5</v>
      </c>
      <c r="K174" s="7">
        <f t="shared" si="30"/>
        <v>1.62612272106343e-5</v>
      </c>
      <c r="L174" s="7">
        <f t="shared" si="27"/>
        <v>1500.41770394161</v>
      </c>
      <c r="M174" s="7">
        <f t="shared" si="28"/>
        <v>1500.50177361937</v>
      </c>
    </row>
    <row r="175" spans="1:13">
      <c r="A175">
        <v>1936930</v>
      </c>
      <c r="B175" t="s">
        <v>18</v>
      </c>
      <c r="C175" s="5">
        <v>0</v>
      </c>
      <c r="E175">
        <v>161</v>
      </c>
      <c r="F175" s="6" cm="1">
        <f t="array" ref="F175">INDEX(C$15:C$1004,E175*6-4)</f>
        <v>1.62605447258101e-5</v>
      </c>
      <c r="G175" s="7">
        <f t="shared" si="29"/>
        <v>1.62610806000884e-5</v>
      </c>
      <c r="H175" s="7">
        <f t="shared" si="31"/>
        <v>1500.56473577237</v>
      </c>
      <c r="I175" s="7">
        <f>AVERAGE(H166:H175)</f>
        <v>1500.51528884467</v>
      </c>
      <c r="J175" s="6" cm="1">
        <f t="array" ref="J175">INDEX(C$15:C$1004,E175*6-3)</f>
        <v>1.62624583026627e-5</v>
      </c>
      <c r="K175" s="7">
        <f t="shared" si="30"/>
        <v>1.62614658620441e-5</v>
      </c>
      <c r="L175" s="7">
        <f t="shared" si="27"/>
        <v>1500.3881667758</v>
      </c>
      <c r="M175" s="7">
        <f t="shared" si="28"/>
        <v>1500.47975220668</v>
      </c>
    </row>
    <row r="176" spans="1:13">
      <c r="A176">
        <v>1936931</v>
      </c>
      <c r="B176" t="s">
        <v>19</v>
      </c>
      <c r="C176" s="5">
        <v>0.47381591796875</v>
      </c>
      <c r="E176">
        <v>162</v>
      </c>
      <c r="F176" s="6" cm="1">
        <f t="array" ref="F176">INDEX(C$15:C$1004,E176*6-4)</f>
        <v>1.62584874487947e-5</v>
      </c>
      <c r="G176" s="7">
        <f t="shared" si="29"/>
        <v>1.62608004757203e-5</v>
      </c>
      <c r="H176" s="7">
        <f t="shared" si="31"/>
        <v>1500.7546105901</v>
      </c>
      <c r="I176" s="7">
        <f>AVERAGE(H167:H176)</f>
        <v>1500.54114152738</v>
      </c>
      <c r="J176" s="6" cm="1">
        <f t="array" ref="J176">INDEX(C$15:C$1004,E176*6-3)</f>
        <v>1.62569613166851e-5</v>
      </c>
      <c r="K176" s="7">
        <f t="shared" si="30"/>
        <v>1.62611075211316e-5</v>
      </c>
      <c r="L176" s="7">
        <f t="shared" si="27"/>
        <v>1500.89549483995</v>
      </c>
      <c r="M176" s="7">
        <f t="shared" si="28"/>
        <v>1500.51282811344</v>
      </c>
    </row>
    <row r="177" spans="1:13">
      <c r="A177">
        <v>1937177</v>
      </c>
      <c r="B177" t="s">
        <v>16</v>
      </c>
      <c r="C177">
        <v>-1.369926395e-11</v>
      </c>
      <c r="E177">
        <v>163</v>
      </c>
      <c r="F177" s="6" cm="1">
        <f t="array" ref="F177">INDEX(C$15:C$1004,E177*6-4)</f>
        <v>1.62598880706355e-5</v>
      </c>
      <c r="G177" s="7">
        <f t="shared" si="29"/>
        <v>1.62606193043757e-5</v>
      </c>
      <c r="H177" s="7">
        <f t="shared" si="31"/>
        <v>1500.62533604183</v>
      </c>
      <c r="I177" s="7">
        <f>AVERAGE(H168:H177)</f>
        <v>1500.55785997093</v>
      </c>
      <c r="J177" s="6" cm="1">
        <f t="array" ref="J177">INDEX(C$15:C$1004,E177*6-3)</f>
        <v>1.62590858963085e-5</v>
      </c>
      <c r="K177" s="7">
        <f t="shared" si="30"/>
        <v>1.62607255333568e-5</v>
      </c>
      <c r="L177" s="7">
        <f t="shared" si="27"/>
        <v>1500.69937237614</v>
      </c>
      <c r="M177" s="7">
        <f t="shared" si="28"/>
        <v>1500.54807696883</v>
      </c>
    </row>
    <row r="178" spans="1:13">
      <c r="A178">
        <v>1937178</v>
      </c>
      <c r="B178" t="s">
        <v>13</v>
      </c>
      <c r="C178" s="5">
        <v>1.62579272000584e-5</v>
      </c>
      <c r="E178">
        <v>164</v>
      </c>
      <c r="F178" s="6" cm="1">
        <f t="array" ref="F178">INDEX(C$15:C$1004,E178*6-4)</f>
        <v>1.62631422426784e-5</v>
      </c>
      <c r="G178" s="7">
        <f t="shared" si="29"/>
        <v>1.62609943799907e-5</v>
      </c>
      <c r="H178" s="7">
        <f t="shared" si="31"/>
        <v>1500.32506854478</v>
      </c>
      <c r="I178" s="7">
        <f>AVERAGE(H169:H178)</f>
        <v>1500.52325010572</v>
      </c>
      <c r="J178" s="6" cm="1">
        <f t="array" ref="J178">INDEX(C$15:C$1004,E178*6-3)</f>
        <v>1.62612886924762e-5</v>
      </c>
      <c r="K178" s="7">
        <f t="shared" si="30"/>
        <v>1.62603979333653e-5</v>
      </c>
      <c r="L178" s="7">
        <f t="shared" si="27"/>
        <v>1500.49608376299</v>
      </c>
      <c r="M178" s="7">
        <f t="shared" si="28"/>
        <v>1500.57829988064</v>
      </c>
    </row>
    <row r="179" spans="1:13">
      <c r="A179">
        <v>1937179</v>
      </c>
      <c r="B179" t="s">
        <v>15</v>
      </c>
      <c r="C179" s="5">
        <v>1.62569613166851e-5</v>
      </c>
      <c r="E179">
        <v>165</v>
      </c>
      <c r="F179" s="6" cm="1">
        <f t="array" ref="F179">INDEX(C$15:C$1004,E179*6-4)</f>
        <v>1.62629057740559e-5</v>
      </c>
      <c r="G179" s="7">
        <f t="shared" si="29"/>
        <v>1.62610711413435e-5</v>
      </c>
      <c r="H179" s="7">
        <f t="shared" si="31"/>
        <v>1500.34688382227</v>
      </c>
      <c r="I179" s="7">
        <f>AVERAGE(H170:H179)</f>
        <v>1500.51616809378</v>
      </c>
      <c r="J179" s="6" cm="1">
        <f t="array" ref="J179">INDEX(C$15:C$1004,E179*6-3)</f>
        <v>1.62593914865283e-5</v>
      </c>
      <c r="K179" s="7">
        <f t="shared" si="30"/>
        <v>1.6260456686723e-5</v>
      </c>
      <c r="L179" s="7">
        <f t="shared" si="27"/>
        <v>1500.67116719691</v>
      </c>
      <c r="M179" s="7">
        <f t="shared" si="28"/>
        <v>1500.57287700512</v>
      </c>
    </row>
    <row r="180" spans="1:3">
      <c r="A180">
        <v>1937180</v>
      </c>
      <c r="B180" t="s">
        <v>17</v>
      </c>
      <c r="C180">
        <v>-0.6602783203125</v>
      </c>
    </row>
    <row r="181" spans="1:3">
      <c r="A181">
        <v>1937181</v>
      </c>
      <c r="B181" t="s">
        <v>18</v>
      </c>
      <c r="C181" s="5">
        <v>0</v>
      </c>
    </row>
    <row r="182" spans="1:3">
      <c r="A182">
        <v>1937182</v>
      </c>
      <c r="B182" t="s">
        <v>19</v>
      </c>
      <c r="C182">
        <v>-0.6602783203125</v>
      </c>
    </row>
    <row r="183" spans="1:3">
      <c r="A183">
        <v>1937426</v>
      </c>
      <c r="B183" t="s">
        <v>16</v>
      </c>
      <c r="C183" s="5">
        <v>6.150457921e-11</v>
      </c>
    </row>
    <row r="184" spans="1:3">
      <c r="A184">
        <v>1937427</v>
      </c>
      <c r="B184" t="s">
        <v>13</v>
      </c>
      <c r="C184" s="5">
        <v>1.62616997840814e-5</v>
      </c>
    </row>
    <row r="185" spans="1:3">
      <c r="A185">
        <v>1937428</v>
      </c>
      <c r="B185" t="s">
        <v>15</v>
      </c>
      <c r="C185" s="5">
        <v>1.62600717885652e-5</v>
      </c>
    </row>
    <row r="186" spans="1:3">
      <c r="A186">
        <v>1937429</v>
      </c>
      <c r="B186" t="s">
        <v>17</v>
      </c>
      <c r="C186" s="5">
        <v>2.96385192871093</v>
      </c>
    </row>
    <row r="187" spans="1:3">
      <c r="A187">
        <v>1937430</v>
      </c>
      <c r="B187" t="s">
        <v>18</v>
      </c>
      <c r="C187" s="5">
        <v>0</v>
      </c>
    </row>
    <row r="188" spans="1:3">
      <c r="A188">
        <v>1937431</v>
      </c>
      <c r="B188" t="s">
        <v>19</v>
      </c>
      <c r="C188" s="5">
        <v>2.96385192871093</v>
      </c>
    </row>
    <row r="189" spans="1:3">
      <c r="A189">
        <v>1937676</v>
      </c>
      <c r="B189" t="s">
        <v>16</v>
      </c>
      <c r="C189" s="5">
        <v>8.07176548e-12</v>
      </c>
    </row>
    <row r="190" spans="1:3">
      <c r="A190">
        <v>1937677</v>
      </c>
      <c r="B190" t="s">
        <v>13</v>
      </c>
      <c r="C190" s="5">
        <v>1.62608994287438e-5</v>
      </c>
    </row>
    <row r="191" spans="1:3">
      <c r="A191">
        <v>1937678</v>
      </c>
      <c r="B191" t="s">
        <v>15</v>
      </c>
      <c r="C191" s="5">
        <v>1.62605447258101e-5</v>
      </c>
    </row>
    <row r="192" spans="1:3">
      <c r="A192">
        <v>1937679</v>
      </c>
      <c r="B192" t="s">
        <v>17</v>
      </c>
      <c r="C192" s="5">
        <v>0.388839721679687</v>
      </c>
    </row>
    <row r="193" spans="1:3">
      <c r="A193">
        <v>1937680</v>
      </c>
      <c r="B193" t="s">
        <v>18</v>
      </c>
      <c r="C193" s="5">
        <v>0</v>
      </c>
    </row>
    <row r="194" spans="1:3">
      <c r="A194">
        <v>1937681</v>
      </c>
      <c r="B194" t="s">
        <v>19</v>
      </c>
      <c r="C194" s="5">
        <v>0.388839721679687</v>
      </c>
    </row>
    <row r="195" spans="1:3">
      <c r="A195">
        <v>1937926</v>
      </c>
      <c r="B195" t="s">
        <v>16</v>
      </c>
      <c r="C195" s="5">
        <v>2.967226465e-11</v>
      </c>
    </row>
    <row r="196" spans="1:3">
      <c r="A196">
        <v>1937927</v>
      </c>
      <c r="B196" t="s">
        <v>13</v>
      </c>
      <c r="C196" s="5">
        <v>1.62593914865283e-5</v>
      </c>
    </row>
    <row r="197" spans="1:3">
      <c r="A197">
        <v>1937928</v>
      </c>
      <c r="B197" t="s">
        <v>15</v>
      </c>
      <c r="C197" s="5">
        <v>1.62616997840814e-5</v>
      </c>
    </row>
    <row r="198" spans="1:3">
      <c r="A198">
        <v>1937929</v>
      </c>
      <c r="B198" t="s">
        <v>17</v>
      </c>
      <c r="C198" s="5">
        <v>1.4298095703125</v>
      </c>
    </row>
    <row r="199" spans="1:3">
      <c r="A199">
        <v>1937930</v>
      </c>
      <c r="B199" t="s">
        <v>18</v>
      </c>
      <c r="C199" s="5">
        <v>0</v>
      </c>
    </row>
    <row r="200" spans="1:3">
      <c r="A200">
        <v>1937931</v>
      </c>
      <c r="B200" t="s">
        <v>19</v>
      </c>
      <c r="C200" s="5">
        <v>1.4298095703125</v>
      </c>
    </row>
    <row r="201" spans="1:3">
      <c r="A201">
        <v>1938176</v>
      </c>
      <c r="B201" t="s">
        <v>16</v>
      </c>
      <c r="C201" s="5">
        <v>5.45696821e-12</v>
      </c>
    </row>
    <row r="202" spans="1:3">
      <c r="A202">
        <v>1938177</v>
      </c>
      <c r="B202" t="s">
        <v>13</v>
      </c>
      <c r="C202" s="5">
        <v>1.62600717885652e-5</v>
      </c>
    </row>
    <row r="203" spans="1:3">
      <c r="A203">
        <v>1938178</v>
      </c>
      <c r="B203" t="s">
        <v>15</v>
      </c>
      <c r="C203" s="5">
        <v>1.62629057740559e-5</v>
      </c>
    </row>
    <row r="204" spans="1:3">
      <c r="A204">
        <v>1938179</v>
      </c>
      <c r="B204" t="s">
        <v>17</v>
      </c>
      <c r="C204" s="5">
        <v>0.262863159179687</v>
      </c>
    </row>
    <row r="205" spans="1:3">
      <c r="A205">
        <v>1938180</v>
      </c>
      <c r="B205" t="s">
        <v>18</v>
      </c>
      <c r="C205" s="5">
        <v>0</v>
      </c>
    </row>
    <row r="206" spans="1:3">
      <c r="A206">
        <v>1938181</v>
      </c>
      <c r="B206" t="s">
        <v>19</v>
      </c>
      <c r="C206" s="5">
        <v>0.262863159179687</v>
      </c>
    </row>
    <row r="207" spans="1:3">
      <c r="A207">
        <v>1938426</v>
      </c>
      <c r="B207" t="s">
        <v>16</v>
      </c>
      <c r="C207" s="5">
        <v>4.06998879e-11</v>
      </c>
    </row>
    <row r="208" spans="1:3">
      <c r="A208">
        <v>1938427</v>
      </c>
      <c r="B208" t="s">
        <v>13</v>
      </c>
      <c r="C208" s="5">
        <v>1.62616997840814e-5</v>
      </c>
    </row>
    <row r="209" spans="1:3">
      <c r="A209">
        <v>1938428</v>
      </c>
      <c r="B209" t="s">
        <v>15</v>
      </c>
      <c r="C209" s="5">
        <v>1.62633787113009e-5</v>
      </c>
    </row>
    <row r="210" spans="1:3">
      <c r="A210">
        <v>1938429</v>
      </c>
      <c r="B210" t="s">
        <v>17</v>
      </c>
      <c r="C210" s="5">
        <v>1.96080017089843</v>
      </c>
    </row>
    <row r="211" spans="1:3">
      <c r="A211">
        <v>1938430</v>
      </c>
      <c r="B211" t="s">
        <v>18</v>
      </c>
      <c r="C211" s="5">
        <v>0</v>
      </c>
    </row>
    <row r="212" spans="1:3">
      <c r="A212">
        <v>1938431</v>
      </c>
      <c r="B212" t="s">
        <v>19</v>
      </c>
      <c r="C212" s="5">
        <v>1.96080017089843</v>
      </c>
    </row>
    <row r="213" spans="1:3">
      <c r="A213">
        <v>1938676</v>
      </c>
      <c r="B213" t="s">
        <v>16</v>
      </c>
      <c r="C213" s="5">
        <v>1.199396138e-11</v>
      </c>
    </row>
    <row r="214" spans="1:3">
      <c r="A214">
        <v>1938677</v>
      </c>
      <c r="B214" t="s">
        <v>13</v>
      </c>
      <c r="C214" s="5">
        <v>1.62584874487947e-5</v>
      </c>
    </row>
    <row r="215" spans="1:3">
      <c r="A215">
        <v>1938678</v>
      </c>
      <c r="B215" t="s">
        <v>15</v>
      </c>
      <c r="C215" s="5">
        <v>1.62600717885652e-5</v>
      </c>
    </row>
    <row r="216" spans="1:3">
      <c r="A216">
        <v>1938679</v>
      </c>
      <c r="B216" t="s">
        <v>17</v>
      </c>
      <c r="C216" s="5">
        <v>0.578018188476562</v>
      </c>
    </row>
    <row r="217" spans="1:3">
      <c r="A217">
        <v>1938680</v>
      </c>
      <c r="B217" t="s">
        <v>18</v>
      </c>
      <c r="C217" s="5">
        <v>0</v>
      </c>
    </row>
    <row r="218" spans="1:3">
      <c r="A218">
        <v>1938681</v>
      </c>
      <c r="B218" t="s">
        <v>19</v>
      </c>
      <c r="C218" s="5">
        <v>0.578018188476562</v>
      </c>
    </row>
    <row r="219" spans="1:3">
      <c r="A219">
        <v>1938925</v>
      </c>
      <c r="B219" t="s">
        <v>16</v>
      </c>
      <c r="C219" s="5">
        <v>3.348077371e-11</v>
      </c>
    </row>
    <row r="220" spans="1:3">
      <c r="A220">
        <v>1938926</v>
      </c>
      <c r="B220" t="s">
        <v>13</v>
      </c>
      <c r="C220" s="5">
        <v>1.62612886924762e-5</v>
      </c>
    </row>
    <row r="221" spans="1:3">
      <c r="A221">
        <v>1938927</v>
      </c>
      <c r="B221" t="s">
        <v>15</v>
      </c>
      <c r="C221" s="5">
        <v>1.62612886924762e-5</v>
      </c>
    </row>
    <row r="222" spans="1:3">
      <c r="A222">
        <v>1938928</v>
      </c>
      <c r="B222" t="s">
        <v>17</v>
      </c>
      <c r="C222" s="5">
        <v>1.6131591796875</v>
      </c>
    </row>
    <row r="223" spans="1:3">
      <c r="A223">
        <v>1938929</v>
      </c>
      <c r="B223" t="s">
        <v>18</v>
      </c>
      <c r="C223" s="5">
        <v>0</v>
      </c>
    </row>
    <row r="224" spans="1:3">
      <c r="A224">
        <v>1938930</v>
      </c>
      <c r="B224" t="s">
        <v>19</v>
      </c>
      <c r="C224" s="5">
        <v>1.6131591796875</v>
      </c>
    </row>
    <row r="225" spans="1:3">
      <c r="A225">
        <v>1939176</v>
      </c>
      <c r="B225" t="s">
        <v>16</v>
      </c>
      <c r="C225" s="5">
        <v>1.25055521e-12</v>
      </c>
    </row>
    <row r="226" spans="1:3">
      <c r="A226">
        <v>1939177</v>
      </c>
      <c r="B226" t="s">
        <v>13</v>
      </c>
      <c r="C226" s="5">
        <v>1.62633787113009e-5</v>
      </c>
    </row>
    <row r="227" spans="1:3">
      <c r="A227">
        <v>1939178</v>
      </c>
      <c r="B227" t="s">
        <v>15</v>
      </c>
      <c r="C227" s="5">
        <v>1.62576761795207e-5</v>
      </c>
    </row>
    <row r="228" spans="1:3">
      <c r="A228">
        <v>1939179</v>
      </c>
      <c r="B228" t="s">
        <v>17</v>
      </c>
      <c r="C228" s="5">
        <v>0.0600738525390625</v>
      </c>
    </row>
    <row r="229" spans="1:3">
      <c r="A229">
        <v>1939180</v>
      </c>
      <c r="B229" t="s">
        <v>18</v>
      </c>
      <c r="C229" s="5">
        <v>0</v>
      </c>
    </row>
    <row r="230" spans="1:3">
      <c r="A230">
        <v>1939181</v>
      </c>
      <c r="B230" t="s">
        <v>19</v>
      </c>
      <c r="C230" s="5">
        <v>0.0600738525390625</v>
      </c>
    </row>
    <row r="231" spans="1:3">
      <c r="A231">
        <v>1939425</v>
      </c>
      <c r="B231" t="s">
        <v>16</v>
      </c>
      <c r="C231" s="5">
        <v>2.580691216e-11</v>
      </c>
    </row>
    <row r="232" spans="1:3">
      <c r="A232">
        <v>1939426</v>
      </c>
      <c r="B232" t="s">
        <v>13</v>
      </c>
      <c r="C232" s="5">
        <v>1.62629057740559e-5</v>
      </c>
    </row>
    <row r="233" spans="1:3">
      <c r="A233">
        <v>1939427</v>
      </c>
      <c r="B233" t="s">
        <v>15</v>
      </c>
      <c r="C233" s="5">
        <v>1.62584874487947e-5</v>
      </c>
    </row>
    <row r="234" spans="1:3">
      <c r="A234">
        <v>1939428</v>
      </c>
      <c r="B234" t="s">
        <v>17</v>
      </c>
      <c r="C234" s="5">
        <v>1.24354553222656</v>
      </c>
    </row>
    <row r="235" spans="1:3">
      <c r="A235">
        <v>1939429</v>
      </c>
      <c r="B235" t="s">
        <v>18</v>
      </c>
      <c r="C235" s="5">
        <v>0</v>
      </c>
    </row>
    <row r="236" spans="1:3">
      <c r="A236">
        <v>1939430</v>
      </c>
      <c r="B236" t="s">
        <v>19</v>
      </c>
      <c r="C236" s="5">
        <v>1.24354553222656</v>
      </c>
    </row>
    <row r="237" spans="1:3">
      <c r="A237">
        <v>1939675</v>
      </c>
      <c r="B237" t="s">
        <v>16</v>
      </c>
      <c r="C237" s="5">
        <v>5.752553989e-11</v>
      </c>
    </row>
    <row r="238" spans="1:3">
      <c r="A238">
        <v>1939676</v>
      </c>
      <c r="B238" t="s">
        <v>13</v>
      </c>
      <c r="C238" s="5">
        <v>1.62624583026627e-5</v>
      </c>
    </row>
    <row r="239" spans="1:3">
      <c r="A239">
        <v>1939677</v>
      </c>
      <c r="B239" t="s">
        <v>15</v>
      </c>
      <c r="C239" s="5">
        <v>1.62612886924762e-5</v>
      </c>
    </row>
    <row r="240" spans="1:3">
      <c r="A240">
        <v>1939678</v>
      </c>
      <c r="B240" t="s">
        <v>17</v>
      </c>
      <c r="C240" s="5">
        <v>2.77174377441406</v>
      </c>
    </row>
    <row r="241" spans="1:3">
      <c r="A241">
        <v>1939679</v>
      </c>
      <c r="B241" t="s">
        <v>18</v>
      </c>
      <c r="C241" s="5">
        <v>0</v>
      </c>
    </row>
    <row r="242" spans="1:3">
      <c r="A242">
        <v>1939680</v>
      </c>
      <c r="B242" t="s">
        <v>19</v>
      </c>
      <c r="C242" s="5">
        <v>2.77174377441406</v>
      </c>
    </row>
    <row r="243" spans="1:3">
      <c r="A243">
        <v>1939925</v>
      </c>
      <c r="B243" t="s">
        <v>16</v>
      </c>
      <c r="C243" s="5">
        <v>5.439915185e-11</v>
      </c>
    </row>
    <row r="244" spans="1:3">
      <c r="A244">
        <v>1939926</v>
      </c>
      <c r="B244" t="s">
        <v>13</v>
      </c>
      <c r="C244" s="5">
        <v>1.62624583026627e-5</v>
      </c>
    </row>
    <row r="245" spans="1:3">
      <c r="A245">
        <v>1939927</v>
      </c>
      <c r="B245" t="s">
        <v>15</v>
      </c>
      <c r="C245" s="5">
        <v>1.62640535563696e-5</v>
      </c>
    </row>
    <row r="246" spans="1:3">
      <c r="A246">
        <v>1939928</v>
      </c>
      <c r="B246" t="s">
        <v>17</v>
      </c>
      <c r="C246" s="5">
        <v>2.62068176269531</v>
      </c>
    </row>
    <row r="247" spans="1:3">
      <c r="A247">
        <v>1939929</v>
      </c>
      <c r="B247" t="s">
        <v>18</v>
      </c>
      <c r="C247" s="5">
        <v>0</v>
      </c>
    </row>
    <row r="248" spans="1:3">
      <c r="A248">
        <v>1939930</v>
      </c>
      <c r="B248" t="s">
        <v>19</v>
      </c>
      <c r="C248" s="5">
        <v>2.62068176269531</v>
      </c>
    </row>
    <row r="249" spans="1:3">
      <c r="A249">
        <v>1940175</v>
      </c>
      <c r="B249" t="s">
        <v>16</v>
      </c>
      <c r="C249">
        <v>-6.53699317e-12</v>
      </c>
    </row>
    <row r="250" spans="1:3">
      <c r="A250">
        <v>1940176</v>
      </c>
      <c r="B250" t="s">
        <v>13</v>
      </c>
      <c r="C250" s="5">
        <v>1.62640535563696e-5</v>
      </c>
    </row>
    <row r="251" spans="1:3">
      <c r="A251">
        <v>1940177</v>
      </c>
      <c r="B251" t="s">
        <v>15</v>
      </c>
      <c r="C251" s="5">
        <v>1.62608994287438e-5</v>
      </c>
    </row>
    <row r="252" spans="1:3">
      <c r="A252">
        <v>1940178</v>
      </c>
      <c r="B252" t="s">
        <v>17</v>
      </c>
      <c r="C252">
        <v>-0.314788818359375</v>
      </c>
    </row>
    <row r="253" spans="1:3">
      <c r="A253">
        <v>1940179</v>
      </c>
      <c r="B253" t="s">
        <v>18</v>
      </c>
      <c r="C253" s="5">
        <v>0</v>
      </c>
    </row>
    <row r="254" spans="1:3">
      <c r="A254">
        <v>1940180</v>
      </c>
      <c r="B254" t="s">
        <v>19</v>
      </c>
      <c r="C254">
        <v>-0.314788818359375</v>
      </c>
    </row>
    <row r="255" spans="1:3">
      <c r="A255">
        <v>1940426</v>
      </c>
      <c r="B255" t="s">
        <v>16</v>
      </c>
      <c r="C255">
        <v>-2.285105438e-11</v>
      </c>
    </row>
    <row r="256" spans="1:3">
      <c r="A256">
        <v>1940426</v>
      </c>
      <c r="B256" t="s">
        <v>13</v>
      </c>
      <c r="C256" s="5">
        <v>1.62612886924762e-5</v>
      </c>
    </row>
    <row r="257" spans="1:3">
      <c r="A257">
        <v>1940427</v>
      </c>
      <c r="B257" t="s">
        <v>15</v>
      </c>
      <c r="C257" s="5">
        <v>1.62629057740559e-5</v>
      </c>
    </row>
    <row r="258" spans="1:3">
      <c r="A258">
        <v>1940428</v>
      </c>
      <c r="B258" t="s">
        <v>17</v>
      </c>
      <c r="C258">
        <v>-1.10086059570312</v>
      </c>
    </row>
    <row r="259" spans="1:3">
      <c r="A259">
        <v>1940429</v>
      </c>
      <c r="B259" t="s">
        <v>18</v>
      </c>
      <c r="C259" s="5">
        <v>0</v>
      </c>
    </row>
    <row r="260" spans="1:3">
      <c r="A260">
        <v>1940430</v>
      </c>
      <c r="B260" t="s">
        <v>19</v>
      </c>
      <c r="C260">
        <v>-1.10086059570312</v>
      </c>
    </row>
    <row r="261" spans="1:3">
      <c r="A261">
        <v>1940675</v>
      </c>
      <c r="B261" t="s">
        <v>16</v>
      </c>
      <c r="C261" s="5">
        <v>1.614353096e-11</v>
      </c>
    </row>
    <row r="262" spans="1:3">
      <c r="A262">
        <v>1940676</v>
      </c>
      <c r="B262" t="s">
        <v>13</v>
      </c>
      <c r="C262" s="5">
        <v>1.62600717885652e-5</v>
      </c>
    </row>
    <row r="263" spans="1:3">
      <c r="A263">
        <v>1940677</v>
      </c>
      <c r="B263" t="s">
        <v>15</v>
      </c>
      <c r="C263" s="5">
        <v>1.62620399350998e-5</v>
      </c>
    </row>
    <row r="264" spans="1:3">
      <c r="A264">
        <v>1940678</v>
      </c>
      <c r="B264" t="s">
        <v>17</v>
      </c>
      <c r="C264" s="5">
        <v>0.77789306640625</v>
      </c>
    </row>
    <row r="265" spans="1:3">
      <c r="A265">
        <v>1940679</v>
      </c>
      <c r="B265" t="s">
        <v>18</v>
      </c>
      <c r="C265" s="5">
        <v>0</v>
      </c>
    </row>
    <row r="266" spans="1:3">
      <c r="A266">
        <v>1940680</v>
      </c>
      <c r="B266" t="s">
        <v>19</v>
      </c>
      <c r="C266" s="5">
        <v>0.77789306640625</v>
      </c>
    </row>
    <row r="267" spans="1:3">
      <c r="A267">
        <v>1940925</v>
      </c>
      <c r="B267" t="s">
        <v>16</v>
      </c>
      <c r="C267" s="5">
        <v>4.541789167e-11</v>
      </c>
    </row>
    <row r="268" spans="1:3">
      <c r="A268">
        <v>1940926</v>
      </c>
      <c r="B268" t="s">
        <v>13</v>
      </c>
      <c r="C268" s="5">
        <v>1.62604410434141e-5</v>
      </c>
    </row>
    <row r="269" spans="1:3">
      <c r="A269">
        <v>1940927</v>
      </c>
      <c r="B269" t="s">
        <v>15</v>
      </c>
      <c r="C269" s="5">
        <v>1.62605447258101e-5</v>
      </c>
    </row>
    <row r="270" spans="1:3">
      <c r="A270">
        <v>1940928</v>
      </c>
      <c r="B270" t="s">
        <v>17</v>
      </c>
      <c r="C270" s="5">
        <v>2.18865966796875</v>
      </c>
    </row>
    <row r="271" spans="1:3">
      <c r="A271">
        <v>1940929</v>
      </c>
      <c r="B271" t="s">
        <v>18</v>
      </c>
      <c r="C271" s="5">
        <v>0</v>
      </c>
    </row>
    <row r="272" spans="1:3">
      <c r="A272">
        <v>1940930</v>
      </c>
      <c r="B272" t="s">
        <v>19</v>
      </c>
      <c r="C272" s="5">
        <v>2.18865966796875</v>
      </c>
    </row>
    <row r="273" spans="1:3">
      <c r="A273">
        <v>1941175</v>
      </c>
      <c r="B273" t="s">
        <v>16</v>
      </c>
      <c r="C273" s="5">
        <v>5.96855898e-12</v>
      </c>
    </row>
    <row r="274" spans="1:3">
      <c r="A274">
        <v>1941176</v>
      </c>
      <c r="B274" t="s">
        <v>13</v>
      </c>
      <c r="C274" s="5">
        <v>1.6264564692392e-5</v>
      </c>
    </row>
    <row r="275" spans="1:3">
      <c r="A275">
        <v>1941177</v>
      </c>
      <c r="B275" t="s">
        <v>15</v>
      </c>
      <c r="C275" s="5">
        <v>1.62612886924762e-5</v>
      </c>
    </row>
    <row r="276" spans="1:3">
      <c r="A276">
        <v>1941178</v>
      </c>
      <c r="B276" t="s">
        <v>17</v>
      </c>
      <c r="C276" s="5">
        <v>0.287353515625</v>
      </c>
    </row>
    <row r="277" spans="1:3">
      <c r="A277">
        <v>1941179</v>
      </c>
      <c r="B277" t="s">
        <v>18</v>
      </c>
      <c r="C277" s="5">
        <v>0</v>
      </c>
    </row>
    <row r="278" spans="1:3">
      <c r="A278">
        <v>1941180</v>
      </c>
      <c r="B278" t="s">
        <v>19</v>
      </c>
      <c r="C278" s="5">
        <v>0.287353515625</v>
      </c>
    </row>
    <row r="279" spans="1:3">
      <c r="A279">
        <v>1941425</v>
      </c>
      <c r="B279" t="s">
        <v>16</v>
      </c>
      <c r="C279" s="5">
        <v>2.370370566e-11</v>
      </c>
    </row>
    <row r="280" spans="1:3">
      <c r="A280">
        <v>1941426</v>
      </c>
      <c r="B280" t="s">
        <v>13</v>
      </c>
      <c r="C280" s="5">
        <v>1.62612886924762e-5</v>
      </c>
    </row>
    <row r="281" spans="1:3">
      <c r="A281">
        <v>1941427</v>
      </c>
      <c r="B281" t="s">
        <v>15</v>
      </c>
      <c r="C281" s="5">
        <v>1.62616997840814e-5</v>
      </c>
    </row>
    <row r="282" spans="1:3">
      <c r="A282">
        <v>1941428</v>
      </c>
      <c r="B282" t="s">
        <v>17</v>
      </c>
      <c r="C282" s="5">
        <v>1.14205932617187</v>
      </c>
    </row>
    <row r="283" spans="1:3">
      <c r="A283">
        <v>1941429</v>
      </c>
      <c r="B283" t="s">
        <v>18</v>
      </c>
      <c r="C283" s="5">
        <v>0</v>
      </c>
    </row>
    <row r="284" spans="1:3">
      <c r="A284">
        <v>1941430</v>
      </c>
      <c r="B284" t="s">
        <v>19</v>
      </c>
      <c r="C284" s="5">
        <v>1.14205932617187</v>
      </c>
    </row>
    <row r="285" spans="1:3">
      <c r="A285">
        <v>1941675</v>
      </c>
      <c r="B285" t="s">
        <v>16</v>
      </c>
      <c r="C285">
        <v>-8.58335625e-12</v>
      </c>
    </row>
    <row r="286" spans="1:3">
      <c r="A286">
        <v>1941676</v>
      </c>
      <c r="B286" t="s">
        <v>13</v>
      </c>
      <c r="C286" s="5">
        <v>1.62605447258101e-5</v>
      </c>
    </row>
    <row r="287" spans="1:3">
      <c r="A287">
        <v>1941677</v>
      </c>
      <c r="B287" t="s">
        <v>15</v>
      </c>
      <c r="C287" s="5">
        <v>1.62597207236103e-5</v>
      </c>
    </row>
    <row r="288" spans="1:3">
      <c r="A288">
        <v>1941678</v>
      </c>
      <c r="B288" t="s">
        <v>17</v>
      </c>
      <c r="C288">
        <v>-0.413558959960937</v>
      </c>
    </row>
    <row r="289" spans="1:3">
      <c r="A289">
        <v>1941679</v>
      </c>
      <c r="B289" t="s">
        <v>18</v>
      </c>
      <c r="C289" s="5">
        <v>0</v>
      </c>
    </row>
    <row r="290" spans="1:3">
      <c r="A290">
        <v>1941680</v>
      </c>
      <c r="B290" t="s">
        <v>19</v>
      </c>
      <c r="C290">
        <v>-0.413558959960937</v>
      </c>
    </row>
    <row r="291" spans="1:3">
      <c r="A291">
        <v>1941926</v>
      </c>
      <c r="B291" t="s">
        <v>16</v>
      </c>
      <c r="C291" s="5">
        <v>3.88808985e-11</v>
      </c>
    </row>
    <row r="292" spans="1:3">
      <c r="A292">
        <v>1941927</v>
      </c>
      <c r="B292" t="s">
        <v>13</v>
      </c>
      <c r="C292" s="5">
        <v>1.62633787113009e-5</v>
      </c>
    </row>
    <row r="293" spans="1:3">
      <c r="A293">
        <v>1941928</v>
      </c>
      <c r="B293" t="s">
        <v>15</v>
      </c>
      <c r="C293" s="5">
        <v>1.62624583026627e-5</v>
      </c>
    </row>
    <row r="294" spans="1:3">
      <c r="A294">
        <v>1941929</v>
      </c>
      <c r="B294" t="s">
        <v>17</v>
      </c>
      <c r="C294" s="5">
        <v>1.87310791015625</v>
      </c>
    </row>
    <row r="295" spans="1:3">
      <c r="A295">
        <v>1941930</v>
      </c>
      <c r="B295" t="s">
        <v>18</v>
      </c>
      <c r="C295" s="5">
        <v>0</v>
      </c>
    </row>
    <row r="296" spans="1:3">
      <c r="A296">
        <v>1941931</v>
      </c>
      <c r="B296" t="s">
        <v>19</v>
      </c>
      <c r="C296" s="5">
        <v>1.87310791015625</v>
      </c>
    </row>
    <row r="297" spans="1:3">
      <c r="A297">
        <v>1942175</v>
      </c>
      <c r="B297" t="s">
        <v>16</v>
      </c>
      <c r="C297" s="5">
        <v>3.40492079e-11</v>
      </c>
    </row>
    <row r="298" spans="1:3">
      <c r="A298">
        <v>1942176</v>
      </c>
      <c r="B298" t="s">
        <v>13</v>
      </c>
      <c r="C298" s="5">
        <v>1.62620399350998e-5</v>
      </c>
    </row>
    <row r="299" spans="1:3">
      <c r="A299">
        <v>1942177</v>
      </c>
      <c r="B299" t="s">
        <v>15</v>
      </c>
      <c r="C299" s="5">
        <v>1.62624583026627e-5</v>
      </c>
    </row>
    <row r="300" spans="1:3">
      <c r="A300">
        <v>1942178</v>
      </c>
      <c r="B300" t="s">
        <v>17</v>
      </c>
      <c r="C300" s="5">
        <v>1.640380859375</v>
      </c>
    </row>
    <row r="301" spans="1:3">
      <c r="A301">
        <v>1942179</v>
      </c>
      <c r="B301" t="s">
        <v>18</v>
      </c>
      <c r="C301" s="5">
        <v>0</v>
      </c>
    </row>
    <row r="302" spans="1:3">
      <c r="A302">
        <v>1942180</v>
      </c>
      <c r="B302" t="s">
        <v>19</v>
      </c>
      <c r="C302" s="5">
        <v>1.640380859375</v>
      </c>
    </row>
    <row r="303" spans="1:3">
      <c r="A303">
        <v>1942425</v>
      </c>
      <c r="B303" t="s">
        <v>16</v>
      </c>
      <c r="C303" s="5">
        <v>4.666844688e-11</v>
      </c>
    </row>
    <row r="304" spans="1:3">
      <c r="A304">
        <v>1942426</v>
      </c>
      <c r="B304" t="s">
        <v>13</v>
      </c>
      <c r="C304" s="5">
        <v>1.6264564692392e-5</v>
      </c>
    </row>
    <row r="305" spans="1:3">
      <c r="A305">
        <v>1942427</v>
      </c>
      <c r="B305" t="s">
        <v>15</v>
      </c>
      <c r="C305" s="5">
        <v>1.62565047503449e-5</v>
      </c>
    </row>
    <row r="306" spans="1:3">
      <c r="A306">
        <v>1942428</v>
      </c>
      <c r="B306" t="s">
        <v>17</v>
      </c>
      <c r="C306" s="5">
        <v>2.24893188476562</v>
      </c>
    </row>
    <row r="307" spans="1:3">
      <c r="A307">
        <v>1942429</v>
      </c>
      <c r="B307" t="s">
        <v>18</v>
      </c>
      <c r="C307" s="5">
        <v>0</v>
      </c>
    </row>
    <row r="308" spans="1:3">
      <c r="A308">
        <v>1942430</v>
      </c>
      <c r="B308" t="s">
        <v>19</v>
      </c>
      <c r="C308" s="5">
        <v>2.24893188476562</v>
      </c>
    </row>
    <row r="309" spans="1:3">
      <c r="A309">
        <v>1942675</v>
      </c>
      <c r="B309" t="s">
        <v>16</v>
      </c>
      <c r="C309" s="5">
        <v>2.154365575e-11</v>
      </c>
    </row>
    <row r="310" spans="1:3">
      <c r="A310">
        <v>1942676</v>
      </c>
      <c r="B310" t="s">
        <v>13</v>
      </c>
      <c r="C310" s="5">
        <v>1.62635806191247e-5</v>
      </c>
    </row>
    <row r="311" spans="1:3">
      <c r="A311">
        <v>1942677</v>
      </c>
      <c r="B311" t="s">
        <v>15</v>
      </c>
      <c r="C311" s="5">
        <v>1.62612886924762e-5</v>
      </c>
    </row>
    <row r="312" spans="1:3">
      <c r="A312">
        <v>1942678</v>
      </c>
      <c r="B312" t="s">
        <v>17</v>
      </c>
      <c r="C312" s="5">
        <v>1.037841796875</v>
      </c>
    </row>
    <row r="313" spans="1:3">
      <c r="A313">
        <v>1942679</v>
      </c>
      <c r="B313" t="s">
        <v>18</v>
      </c>
      <c r="C313" s="5">
        <v>0</v>
      </c>
    </row>
    <row r="314" spans="1:3">
      <c r="A314">
        <v>1942680</v>
      </c>
      <c r="B314" t="s">
        <v>19</v>
      </c>
      <c r="C314" s="5">
        <v>1.037841796875</v>
      </c>
    </row>
    <row r="315" spans="1:3">
      <c r="A315">
        <v>1942925</v>
      </c>
      <c r="B315" t="s">
        <v>16</v>
      </c>
      <c r="C315" s="5">
        <v>5.51381163e-12</v>
      </c>
    </row>
    <row r="316" spans="1:3">
      <c r="A316">
        <v>1942926</v>
      </c>
      <c r="B316" t="s">
        <v>13</v>
      </c>
      <c r="C316" s="5">
        <v>1.62569613166851e-5</v>
      </c>
    </row>
    <row r="317" spans="1:3">
      <c r="A317">
        <v>1942927</v>
      </c>
      <c r="B317" t="s">
        <v>15</v>
      </c>
      <c r="C317" s="5">
        <v>1.62612886924762e-5</v>
      </c>
    </row>
    <row r="318" spans="1:3">
      <c r="A318">
        <v>1942928</v>
      </c>
      <c r="B318" t="s">
        <v>17</v>
      </c>
      <c r="C318" s="5">
        <v>0.265579223632812</v>
      </c>
    </row>
    <row r="319" spans="1:3">
      <c r="A319">
        <v>1942929</v>
      </c>
      <c r="B319" t="s">
        <v>18</v>
      </c>
      <c r="C319" s="5">
        <v>0</v>
      </c>
    </row>
    <row r="320" spans="1:3">
      <c r="A320">
        <v>1942930</v>
      </c>
      <c r="B320" t="s">
        <v>19</v>
      </c>
      <c r="C320" s="5">
        <v>0.265579223632812</v>
      </c>
    </row>
    <row r="321" spans="1:3">
      <c r="A321">
        <v>1943175</v>
      </c>
      <c r="B321" t="s">
        <v>16</v>
      </c>
      <c r="C321" s="5">
        <v>1.961097951e-11</v>
      </c>
    </row>
    <row r="322" spans="1:3">
      <c r="A322">
        <v>1943176</v>
      </c>
      <c r="B322" t="s">
        <v>13</v>
      </c>
      <c r="C322" s="5">
        <v>1.62608994287438e-5</v>
      </c>
    </row>
    <row r="323" spans="1:3">
      <c r="A323">
        <v>1943177</v>
      </c>
      <c r="B323" t="s">
        <v>15</v>
      </c>
      <c r="C323" s="5">
        <v>1.62624583026627e-5</v>
      </c>
    </row>
    <row r="324" spans="1:3">
      <c r="A324">
        <v>1943178</v>
      </c>
      <c r="B324" t="s">
        <v>17</v>
      </c>
      <c r="C324" s="5">
        <v>0.944915771484375</v>
      </c>
    </row>
    <row r="325" spans="1:3">
      <c r="A325">
        <v>1943179</v>
      </c>
      <c r="B325" t="s">
        <v>18</v>
      </c>
      <c r="C325" s="5">
        <v>0</v>
      </c>
    </row>
    <row r="326" spans="1:3">
      <c r="A326">
        <v>1943180</v>
      </c>
      <c r="B326" t="s">
        <v>19</v>
      </c>
      <c r="C326" s="5">
        <v>0.944915771484375</v>
      </c>
    </row>
    <row r="327" spans="1:3">
      <c r="A327">
        <v>1943425</v>
      </c>
      <c r="B327" t="s">
        <v>16</v>
      </c>
      <c r="C327">
        <v>-3.620925781e-11</v>
      </c>
    </row>
    <row r="328" spans="1:3">
      <c r="A328">
        <v>1943426</v>
      </c>
      <c r="B328" t="s">
        <v>13</v>
      </c>
      <c r="C328" s="5">
        <v>1.62616543093463e-5</v>
      </c>
    </row>
    <row r="329" spans="1:3">
      <c r="A329">
        <v>1943427</v>
      </c>
      <c r="B329" t="s">
        <v>15</v>
      </c>
      <c r="C329" s="5">
        <v>1.62562973855529e-5</v>
      </c>
    </row>
    <row r="330" spans="1:3">
      <c r="A330">
        <v>1943428</v>
      </c>
      <c r="B330" t="s">
        <v>17</v>
      </c>
      <c r="C330">
        <v>-1.74519348144531</v>
      </c>
    </row>
    <row r="331" spans="1:3">
      <c r="A331">
        <v>1943429</v>
      </c>
      <c r="B331" t="s">
        <v>18</v>
      </c>
      <c r="C331" s="5">
        <v>0</v>
      </c>
    </row>
    <row r="332" spans="1:3">
      <c r="A332">
        <v>1943430</v>
      </c>
      <c r="B332" t="s">
        <v>19</v>
      </c>
      <c r="C332">
        <v>-1.74519348144531</v>
      </c>
    </row>
    <row r="333" spans="1:3">
      <c r="A333">
        <v>1943675</v>
      </c>
      <c r="B333" t="s">
        <v>16</v>
      </c>
      <c r="C333" s="5">
        <v>2.751221473e-11</v>
      </c>
    </row>
    <row r="334" spans="1:3">
      <c r="A334">
        <v>1943676</v>
      </c>
      <c r="B334" t="s">
        <v>13</v>
      </c>
      <c r="C334" s="5">
        <v>1.62598880706355e-5</v>
      </c>
    </row>
    <row r="335" spans="1:3">
      <c r="A335">
        <v>1943677</v>
      </c>
      <c r="B335" t="s">
        <v>15</v>
      </c>
      <c r="C335" s="5">
        <v>1.62597207236103e-5</v>
      </c>
    </row>
    <row r="336" spans="1:3">
      <c r="A336">
        <v>1943678</v>
      </c>
      <c r="B336" t="s">
        <v>17</v>
      </c>
      <c r="C336" s="5">
        <v>1.32579040527343</v>
      </c>
    </row>
    <row r="337" spans="1:3">
      <c r="A337">
        <v>1943679</v>
      </c>
      <c r="B337" t="s">
        <v>18</v>
      </c>
      <c r="C337" s="5">
        <v>0</v>
      </c>
    </row>
    <row r="338" spans="1:3">
      <c r="A338">
        <v>1943680</v>
      </c>
      <c r="B338" t="s">
        <v>19</v>
      </c>
      <c r="C338" s="5">
        <v>1.32579040527343</v>
      </c>
    </row>
    <row r="339" spans="1:3">
      <c r="A339">
        <v>1943925</v>
      </c>
      <c r="B339" t="s">
        <v>16</v>
      </c>
      <c r="C339">
        <v>-2.78532752e-12</v>
      </c>
    </row>
    <row r="340" spans="1:3">
      <c r="A340">
        <v>1943926</v>
      </c>
      <c r="B340" t="s">
        <v>13</v>
      </c>
      <c r="C340" s="5">
        <v>1.62605447258101e-5</v>
      </c>
    </row>
    <row r="341" spans="1:3">
      <c r="A341">
        <v>1943927</v>
      </c>
      <c r="B341" t="s">
        <v>15</v>
      </c>
      <c r="C341" s="5">
        <v>1.62597207236103e-5</v>
      </c>
    </row>
    <row r="342" spans="1:3">
      <c r="A342">
        <v>1943928</v>
      </c>
      <c r="B342" t="s">
        <v>17</v>
      </c>
      <c r="C342">
        <v>-0.1341552734375</v>
      </c>
    </row>
    <row r="343" spans="1:3">
      <c r="A343">
        <v>1943929</v>
      </c>
      <c r="B343" t="s">
        <v>18</v>
      </c>
      <c r="C343" s="5">
        <v>0</v>
      </c>
    </row>
    <row r="344" spans="1:3">
      <c r="A344">
        <v>1943930</v>
      </c>
      <c r="B344" t="s">
        <v>19</v>
      </c>
      <c r="C344">
        <v>-0.1341552734375</v>
      </c>
    </row>
    <row r="345" spans="1:3">
      <c r="A345">
        <v>1944175</v>
      </c>
      <c r="B345" t="s">
        <v>16</v>
      </c>
      <c r="C345" s="5">
        <v>5.167066774e-11</v>
      </c>
    </row>
    <row r="346" spans="1:3">
      <c r="A346">
        <v>1944176</v>
      </c>
      <c r="B346" t="s">
        <v>13</v>
      </c>
      <c r="C346" s="5">
        <v>1.62593914865283e-5</v>
      </c>
    </row>
    <row r="347" spans="1:3">
      <c r="A347">
        <v>1944177</v>
      </c>
      <c r="B347" t="s">
        <v>15</v>
      </c>
      <c r="C347" s="5">
        <v>1.62620399350998e-5</v>
      </c>
    </row>
    <row r="348" spans="1:3">
      <c r="A348">
        <v>1944178</v>
      </c>
      <c r="B348" t="s">
        <v>17</v>
      </c>
      <c r="C348" s="5">
        <v>2.48983764648437</v>
      </c>
    </row>
    <row r="349" spans="1:3">
      <c r="A349">
        <v>1944179</v>
      </c>
      <c r="B349" t="s">
        <v>18</v>
      </c>
      <c r="C349" s="5">
        <v>0</v>
      </c>
    </row>
    <row r="350" spans="1:3">
      <c r="A350">
        <v>1944180</v>
      </c>
      <c r="B350" t="s">
        <v>19</v>
      </c>
      <c r="C350" s="5">
        <v>2.48983764648437</v>
      </c>
    </row>
    <row r="351" spans="1:3">
      <c r="A351">
        <v>1944425</v>
      </c>
      <c r="B351" t="s">
        <v>16</v>
      </c>
      <c r="C351" s="5">
        <v>2.427213985e-11</v>
      </c>
    </row>
    <row r="352" spans="1:3">
      <c r="A352">
        <v>1944426</v>
      </c>
      <c r="B352" t="s">
        <v>13</v>
      </c>
      <c r="C352" s="5">
        <v>1.62597207236103e-5</v>
      </c>
    </row>
    <row r="353" spans="1:3">
      <c r="A353">
        <v>1944427</v>
      </c>
      <c r="B353" t="s">
        <v>15</v>
      </c>
      <c r="C353" s="5">
        <v>1.62616997840814e-5</v>
      </c>
    </row>
    <row r="354" spans="1:3">
      <c r="A354">
        <v>1944428</v>
      </c>
      <c r="B354" t="s">
        <v>17</v>
      </c>
      <c r="C354" s="5">
        <v>1.16966247558593</v>
      </c>
    </row>
    <row r="355" spans="1:3">
      <c r="A355">
        <v>1944429</v>
      </c>
      <c r="B355" t="s">
        <v>18</v>
      </c>
      <c r="C355" s="5">
        <v>0</v>
      </c>
    </row>
    <row r="356" spans="1:3">
      <c r="A356">
        <v>1944430</v>
      </c>
      <c r="B356" t="s">
        <v>19</v>
      </c>
      <c r="C356" s="5">
        <v>1.16966247558593</v>
      </c>
    </row>
    <row r="357" spans="1:3">
      <c r="A357">
        <v>1944675</v>
      </c>
      <c r="B357" t="s">
        <v>16</v>
      </c>
      <c r="C357" s="5">
        <v>4.627054295e-11</v>
      </c>
    </row>
    <row r="358" spans="1:3">
      <c r="A358">
        <v>1944676</v>
      </c>
      <c r="B358" t="s">
        <v>13</v>
      </c>
      <c r="C358" s="5">
        <v>1.62608994287438e-5</v>
      </c>
    </row>
    <row r="359" spans="1:3">
      <c r="A359">
        <v>1944677</v>
      </c>
      <c r="B359" t="s">
        <v>15</v>
      </c>
      <c r="C359" s="5">
        <v>1.62635806191247e-5</v>
      </c>
    </row>
    <row r="360" spans="1:3">
      <c r="A360">
        <v>1944678</v>
      </c>
      <c r="B360" t="s">
        <v>17</v>
      </c>
      <c r="C360" s="5">
        <v>2.22929382324218</v>
      </c>
    </row>
    <row r="361" spans="1:3">
      <c r="A361">
        <v>1944679</v>
      </c>
      <c r="B361" t="s">
        <v>18</v>
      </c>
      <c r="C361" s="5">
        <v>0</v>
      </c>
    </row>
    <row r="362" spans="1:3">
      <c r="A362">
        <v>1944680</v>
      </c>
      <c r="B362" t="s">
        <v>19</v>
      </c>
      <c r="C362" s="5">
        <v>2.22929382324218</v>
      </c>
    </row>
    <row r="363" spans="1:3">
      <c r="A363">
        <v>1944925</v>
      </c>
      <c r="B363" t="s">
        <v>16</v>
      </c>
      <c r="C363" s="5">
        <v>1.057287591e-11</v>
      </c>
    </row>
    <row r="364" spans="1:3">
      <c r="A364">
        <v>1944926</v>
      </c>
      <c r="B364" t="s">
        <v>13</v>
      </c>
      <c r="C364" s="5">
        <v>1.62616543093463e-5</v>
      </c>
    </row>
    <row r="365" spans="1:3">
      <c r="A365">
        <v>1944927</v>
      </c>
      <c r="B365" t="s">
        <v>15</v>
      </c>
      <c r="C365" s="5">
        <v>1.62612886924762e-5</v>
      </c>
    </row>
    <row r="366" spans="1:3">
      <c r="A366">
        <v>1944928</v>
      </c>
      <c r="B366" t="s">
        <v>17</v>
      </c>
      <c r="C366" s="5">
        <v>0.5093994140625</v>
      </c>
    </row>
    <row r="367" spans="1:3">
      <c r="A367">
        <v>1944929</v>
      </c>
      <c r="B367" t="s">
        <v>18</v>
      </c>
      <c r="C367" s="5">
        <v>0</v>
      </c>
    </row>
    <row r="368" spans="1:3">
      <c r="A368">
        <v>1944930</v>
      </c>
      <c r="B368" t="s">
        <v>19</v>
      </c>
      <c r="C368" s="5">
        <v>0.5093994140625</v>
      </c>
    </row>
    <row r="369" spans="1:3">
      <c r="A369">
        <v>1945175</v>
      </c>
      <c r="B369" t="s">
        <v>16</v>
      </c>
      <c r="C369">
        <v>-2.205524652e-11</v>
      </c>
    </row>
    <row r="370" spans="1:3">
      <c r="A370">
        <v>1945176</v>
      </c>
      <c r="B370" t="s">
        <v>13</v>
      </c>
      <c r="C370" s="5">
        <v>1.62605447258101e-5</v>
      </c>
    </row>
    <row r="371" spans="1:3">
      <c r="A371">
        <v>1945177</v>
      </c>
      <c r="B371" t="s">
        <v>15</v>
      </c>
      <c r="C371" s="5">
        <v>1.62616997840814e-5</v>
      </c>
    </row>
    <row r="372" spans="1:3">
      <c r="A372">
        <v>1945178</v>
      </c>
      <c r="B372" t="s">
        <v>17</v>
      </c>
      <c r="C372">
        <v>-1.062744140625</v>
      </c>
    </row>
    <row r="373" spans="1:3">
      <c r="A373">
        <v>1945179</v>
      </c>
      <c r="B373" t="s">
        <v>18</v>
      </c>
      <c r="C373" s="5">
        <v>0</v>
      </c>
    </row>
    <row r="374" spans="1:3">
      <c r="A374">
        <v>1945180</v>
      </c>
      <c r="B374" t="s">
        <v>19</v>
      </c>
      <c r="C374">
        <v>-1.062744140625</v>
      </c>
    </row>
    <row r="375" spans="1:3">
      <c r="A375">
        <v>1945425</v>
      </c>
      <c r="B375" t="s">
        <v>16</v>
      </c>
      <c r="C375" s="5">
        <v>1.904254532e-11</v>
      </c>
    </row>
    <row r="376" spans="1:3">
      <c r="A376">
        <v>1945426</v>
      </c>
      <c r="B376" t="s">
        <v>13</v>
      </c>
      <c r="C376" s="5">
        <v>1.62640535563696e-5</v>
      </c>
    </row>
    <row r="377" spans="1:3">
      <c r="A377">
        <v>1945427</v>
      </c>
      <c r="B377" t="s">
        <v>15</v>
      </c>
      <c r="C377" s="5">
        <v>1.62620399350998e-5</v>
      </c>
    </row>
    <row r="378" spans="1:3">
      <c r="A378">
        <v>1945428</v>
      </c>
      <c r="B378" t="s">
        <v>17</v>
      </c>
      <c r="C378" s="5">
        <v>0.91729736328125</v>
      </c>
    </row>
    <row r="379" spans="1:3">
      <c r="A379">
        <v>1945429</v>
      </c>
      <c r="B379" t="s">
        <v>18</v>
      </c>
      <c r="C379" s="5">
        <v>0</v>
      </c>
    </row>
    <row r="380" spans="1:3">
      <c r="A380">
        <v>1945430</v>
      </c>
      <c r="B380" t="s">
        <v>19</v>
      </c>
      <c r="C380" s="5">
        <v>0.91729736328125</v>
      </c>
    </row>
    <row r="381" spans="1:3">
      <c r="A381">
        <v>1945675</v>
      </c>
      <c r="B381" t="s">
        <v>16</v>
      </c>
      <c r="C381">
        <v>-1.693933882e-11</v>
      </c>
    </row>
    <row r="382" spans="1:3">
      <c r="A382">
        <v>1945676</v>
      </c>
      <c r="B382" t="s">
        <v>13</v>
      </c>
      <c r="C382" s="5">
        <v>1.62605447258101e-5</v>
      </c>
    </row>
    <row r="383" spans="1:3">
      <c r="A383">
        <v>1945677</v>
      </c>
      <c r="B383" t="s">
        <v>15</v>
      </c>
      <c r="C383" s="5">
        <v>1.62624583026627e-5</v>
      </c>
    </row>
    <row r="384" spans="1:3">
      <c r="A384">
        <v>1945678</v>
      </c>
      <c r="B384" t="s">
        <v>17</v>
      </c>
      <c r="C384">
        <v>-0.816207885742187</v>
      </c>
    </row>
    <row r="385" spans="1:3">
      <c r="A385">
        <v>1945679</v>
      </c>
      <c r="B385" t="s">
        <v>18</v>
      </c>
      <c r="C385" s="5">
        <v>0</v>
      </c>
    </row>
    <row r="386" spans="1:3">
      <c r="A386">
        <v>1945680</v>
      </c>
      <c r="B386" t="s">
        <v>19</v>
      </c>
      <c r="C386">
        <v>-0.816207885742187</v>
      </c>
    </row>
    <row r="387" spans="1:3">
      <c r="A387">
        <v>1945925</v>
      </c>
      <c r="B387" t="s">
        <v>16</v>
      </c>
      <c r="C387" s="5">
        <v>7.73070497e-12</v>
      </c>
    </row>
    <row r="388" spans="1:3">
      <c r="A388">
        <v>1945926</v>
      </c>
      <c r="B388" t="s">
        <v>13</v>
      </c>
      <c r="C388" s="5">
        <v>1.62616997840814e-5</v>
      </c>
    </row>
    <row r="389" spans="1:3">
      <c r="A389">
        <v>1945927</v>
      </c>
      <c r="B389" t="s">
        <v>15</v>
      </c>
      <c r="C389" s="5">
        <v>1.62590858963085e-5</v>
      </c>
    </row>
    <row r="390" spans="1:3">
      <c r="A390">
        <v>1945928</v>
      </c>
      <c r="B390" t="s">
        <v>17</v>
      </c>
      <c r="C390" s="5">
        <v>0.372512817382812</v>
      </c>
    </row>
    <row r="391" spans="1:3">
      <c r="A391">
        <v>1945929</v>
      </c>
      <c r="B391" t="s">
        <v>18</v>
      </c>
      <c r="C391" s="5">
        <v>0</v>
      </c>
    </row>
    <row r="392" spans="1:3">
      <c r="A392">
        <v>1945930</v>
      </c>
      <c r="B392" t="s">
        <v>19</v>
      </c>
      <c r="C392" s="5">
        <v>0.372512817382812</v>
      </c>
    </row>
    <row r="393" spans="1:3">
      <c r="A393">
        <v>1946175</v>
      </c>
      <c r="B393" t="s">
        <v>16</v>
      </c>
      <c r="C393" s="5">
        <v>1.517719284e-11</v>
      </c>
    </row>
    <row r="394" spans="1:3">
      <c r="A394">
        <v>1946176</v>
      </c>
      <c r="B394" t="s">
        <v>13</v>
      </c>
      <c r="C394" s="5">
        <v>1.62597207236103e-5</v>
      </c>
    </row>
    <row r="395" spans="1:3">
      <c r="A395">
        <v>1946177</v>
      </c>
      <c r="B395" t="s">
        <v>15</v>
      </c>
      <c r="C395" s="5">
        <v>1.62624583026627e-5</v>
      </c>
    </row>
    <row r="396" spans="1:3">
      <c r="A396">
        <v>1946178</v>
      </c>
      <c r="B396" t="s">
        <v>17</v>
      </c>
      <c r="C396" s="5">
        <v>0.731231689453125</v>
      </c>
    </row>
    <row r="397" spans="1:3">
      <c r="A397">
        <v>1946179</v>
      </c>
      <c r="B397" t="s">
        <v>18</v>
      </c>
      <c r="C397" s="5">
        <v>0</v>
      </c>
    </row>
    <row r="398" spans="1:3">
      <c r="A398">
        <v>1946180</v>
      </c>
      <c r="B398" t="s">
        <v>19</v>
      </c>
      <c r="C398" s="5">
        <v>0.731231689453125</v>
      </c>
    </row>
    <row r="399" spans="1:3">
      <c r="A399">
        <v>1946425</v>
      </c>
      <c r="B399" t="s">
        <v>16</v>
      </c>
      <c r="C399" s="5">
        <v>8.24229573e-12</v>
      </c>
    </row>
    <row r="400" spans="1:3">
      <c r="A400">
        <v>1946426</v>
      </c>
      <c r="B400" t="s">
        <v>13</v>
      </c>
      <c r="C400" s="5">
        <v>1.62635806191247e-5</v>
      </c>
    </row>
    <row r="401" spans="1:3">
      <c r="A401">
        <v>1946427</v>
      </c>
      <c r="B401" t="s">
        <v>15</v>
      </c>
      <c r="C401" s="5">
        <v>1.62612886924762e-5</v>
      </c>
    </row>
    <row r="402" spans="1:3">
      <c r="A402">
        <v>1946428</v>
      </c>
      <c r="B402" t="s">
        <v>17</v>
      </c>
      <c r="C402" s="5">
        <v>0.397018432617187</v>
      </c>
    </row>
    <row r="403" spans="1:3">
      <c r="A403">
        <v>1946429</v>
      </c>
      <c r="B403" t="s">
        <v>18</v>
      </c>
      <c r="C403" s="5">
        <v>0</v>
      </c>
    </row>
    <row r="404" spans="1:3">
      <c r="A404">
        <v>1946430</v>
      </c>
      <c r="B404" t="s">
        <v>19</v>
      </c>
      <c r="C404" s="5">
        <v>0.397018432617187</v>
      </c>
    </row>
    <row r="405" spans="1:3">
      <c r="A405">
        <v>1946675</v>
      </c>
      <c r="B405" t="s">
        <v>16</v>
      </c>
      <c r="C405" s="5">
        <v>3.922195901e-11</v>
      </c>
    </row>
    <row r="406" spans="1:3">
      <c r="A406">
        <v>1946676</v>
      </c>
      <c r="B406" t="s">
        <v>13</v>
      </c>
      <c r="C406" s="5">
        <v>1.62620399350998e-5</v>
      </c>
    </row>
    <row r="407" spans="1:3">
      <c r="A407">
        <v>1946677</v>
      </c>
      <c r="B407" t="s">
        <v>15</v>
      </c>
      <c r="C407" s="5">
        <v>1.62608994287438e-5</v>
      </c>
    </row>
    <row r="408" spans="1:3">
      <c r="A408">
        <v>1946678</v>
      </c>
      <c r="B408" t="s">
        <v>17</v>
      </c>
      <c r="C408" s="5">
        <v>1.88983154296875</v>
      </c>
    </row>
    <row r="409" spans="1:3">
      <c r="A409">
        <v>1946679</v>
      </c>
      <c r="B409" t="s">
        <v>18</v>
      </c>
      <c r="C409" s="5">
        <v>0</v>
      </c>
    </row>
    <row r="410" spans="1:3">
      <c r="A410">
        <v>1946680</v>
      </c>
      <c r="B410" t="s">
        <v>19</v>
      </c>
      <c r="C410" s="5">
        <v>1.88983154296875</v>
      </c>
    </row>
    <row r="411" spans="1:3">
      <c r="A411">
        <v>1946925</v>
      </c>
      <c r="B411" t="s">
        <v>16</v>
      </c>
      <c r="C411">
        <v>-2.61479727e-12</v>
      </c>
    </row>
    <row r="412" spans="1:3">
      <c r="A412">
        <v>1946926</v>
      </c>
      <c r="B412" t="s">
        <v>13</v>
      </c>
      <c r="C412" s="5">
        <v>1.62584874487947e-5</v>
      </c>
    </row>
    <row r="413" spans="1:3">
      <c r="A413">
        <v>1946927</v>
      </c>
      <c r="B413" t="s">
        <v>15</v>
      </c>
      <c r="C413" s="5">
        <v>1.62581982294796e-5</v>
      </c>
    </row>
    <row r="414" spans="1:3">
      <c r="A414">
        <v>1946928</v>
      </c>
      <c r="B414" t="s">
        <v>17</v>
      </c>
      <c r="C414">
        <v>-0.125991821289062</v>
      </c>
    </row>
    <row r="415" spans="1:3">
      <c r="A415">
        <v>1946929</v>
      </c>
      <c r="B415" t="s">
        <v>18</v>
      </c>
      <c r="C415" s="5">
        <v>0</v>
      </c>
    </row>
    <row r="416" spans="1:3">
      <c r="A416">
        <v>1946930</v>
      </c>
      <c r="B416" t="s">
        <v>19</v>
      </c>
      <c r="C416">
        <v>-0.125991821289062</v>
      </c>
    </row>
    <row r="417" spans="1:3">
      <c r="A417">
        <v>1947174</v>
      </c>
      <c r="B417" t="s">
        <v>16</v>
      </c>
      <c r="C417">
        <v>-2.512479114e-11</v>
      </c>
    </row>
    <row r="418" spans="1:3">
      <c r="A418">
        <v>1947176</v>
      </c>
      <c r="B418" t="s">
        <v>13</v>
      </c>
      <c r="C418" s="5">
        <v>1.62584874487947e-5</v>
      </c>
    </row>
    <row r="419" spans="1:3">
      <c r="A419">
        <v>1947177</v>
      </c>
      <c r="B419" t="s">
        <v>15</v>
      </c>
      <c r="C419" s="5">
        <v>1.62616543093463e-5</v>
      </c>
    </row>
    <row r="420" spans="1:3">
      <c r="A420">
        <v>1947178</v>
      </c>
      <c r="B420" t="s">
        <v>17</v>
      </c>
      <c r="C420">
        <v>-1.21070861816406</v>
      </c>
    </row>
    <row r="421" spans="1:3">
      <c r="A421">
        <v>1947179</v>
      </c>
      <c r="B421" t="s">
        <v>18</v>
      </c>
      <c r="C421" s="5">
        <v>0</v>
      </c>
    </row>
    <row r="422" spans="1:3">
      <c r="A422">
        <v>1947180</v>
      </c>
      <c r="B422" t="s">
        <v>19</v>
      </c>
      <c r="C422">
        <v>-1.21070861816406</v>
      </c>
    </row>
    <row r="423" spans="1:3">
      <c r="A423">
        <v>1947425</v>
      </c>
      <c r="B423" t="s">
        <v>16</v>
      </c>
      <c r="C423" s="5">
        <v>1.614353096e-11</v>
      </c>
    </row>
    <row r="424" spans="1:3">
      <c r="A424">
        <v>1947426</v>
      </c>
      <c r="B424" t="s">
        <v>13</v>
      </c>
      <c r="C424" s="5">
        <v>1.62620399350998e-5</v>
      </c>
    </row>
    <row r="425" spans="1:3">
      <c r="A425">
        <v>1947427</v>
      </c>
      <c r="B425" t="s">
        <v>15</v>
      </c>
      <c r="C425" s="5">
        <v>1.62581982294796e-5</v>
      </c>
    </row>
    <row r="426" spans="1:3">
      <c r="A426">
        <v>1947428</v>
      </c>
      <c r="B426" t="s">
        <v>17</v>
      </c>
      <c r="C426" s="5">
        <v>0.77789306640625</v>
      </c>
    </row>
    <row r="427" spans="1:3">
      <c r="A427">
        <v>1947429</v>
      </c>
      <c r="B427" t="s">
        <v>18</v>
      </c>
      <c r="C427" s="5">
        <v>0</v>
      </c>
    </row>
    <row r="428" spans="1:3">
      <c r="A428">
        <v>1947430</v>
      </c>
      <c r="B428" t="s">
        <v>19</v>
      </c>
      <c r="C428" s="5">
        <v>0.77789306640625</v>
      </c>
    </row>
    <row r="429" spans="1:3">
      <c r="A429">
        <v>1947675</v>
      </c>
      <c r="B429" t="s">
        <v>16</v>
      </c>
      <c r="C429" s="5">
        <v>2.808064892e-11</v>
      </c>
    </row>
    <row r="430" spans="1:3">
      <c r="A430">
        <v>1947676</v>
      </c>
      <c r="B430" t="s">
        <v>13</v>
      </c>
      <c r="C430" s="5">
        <v>1.62597207236103e-5</v>
      </c>
    </row>
    <row r="431" spans="1:3">
      <c r="A431">
        <v>1947677</v>
      </c>
      <c r="B431" t="s">
        <v>15</v>
      </c>
      <c r="C431" s="5">
        <v>1.62616997840814e-5</v>
      </c>
    </row>
    <row r="432" spans="1:3">
      <c r="A432">
        <v>1947678</v>
      </c>
      <c r="B432" t="s">
        <v>17</v>
      </c>
      <c r="C432" s="5">
        <v>1.35321044921875</v>
      </c>
    </row>
    <row r="433" spans="1:3">
      <c r="A433">
        <v>1947679</v>
      </c>
      <c r="B433" t="s">
        <v>18</v>
      </c>
      <c r="C433" s="5">
        <v>0</v>
      </c>
    </row>
    <row r="434" spans="1:3">
      <c r="A434">
        <v>1947680</v>
      </c>
      <c r="B434" t="s">
        <v>19</v>
      </c>
      <c r="C434" s="5">
        <v>1.35321044921875</v>
      </c>
    </row>
    <row r="435" spans="1:3">
      <c r="A435">
        <v>1947925</v>
      </c>
      <c r="B435" t="s">
        <v>16</v>
      </c>
      <c r="C435" s="5">
        <v>5.206857168e-11</v>
      </c>
    </row>
    <row r="436" spans="1:3">
      <c r="A436">
        <v>1947927</v>
      </c>
      <c r="B436" t="s">
        <v>13</v>
      </c>
      <c r="C436" s="5">
        <v>1.62616997840814e-5</v>
      </c>
    </row>
    <row r="437" spans="1:3">
      <c r="A437">
        <v>1947927</v>
      </c>
      <c r="B437" t="s">
        <v>15</v>
      </c>
      <c r="C437" s="5">
        <v>1.62627184181474e-5</v>
      </c>
    </row>
    <row r="438" spans="1:3">
      <c r="A438">
        <v>1947928</v>
      </c>
      <c r="B438" t="s">
        <v>17</v>
      </c>
      <c r="C438" s="5">
        <v>2.50869750976562</v>
      </c>
    </row>
    <row r="439" spans="1:3">
      <c r="A439">
        <v>1947929</v>
      </c>
      <c r="B439" t="s">
        <v>18</v>
      </c>
      <c r="C439" s="5">
        <v>0</v>
      </c>
    </row>
    <row r="440" spans="1:3">
      <c r="A440">
        <v>1947930</v>
      </c>
      <c r="B440" t="s">
        <v>19</v>
      </c>
      <c r="C440" s="5">
        <v>2.50869750976562</v>
      </c>
    </row>
    <row r="441" spans="1:3">
      <c r="A441">
        <v>1948176</v>
      </c>
      <c r="B441" t="s">
        <v>16</v>
      </c>
      <c r="C441" s="5">
        <v>9.77706804e-12</v>
      </c>
    </row>
    <row r="442" spans="1:3">
      <c r="A442">
        <v>1948176</v>
      </c>
      <c r="B442" t="s">
        <v>13</v>
      </c>
      <c r="C442" s="5">
        <v>1.62620399350998e-5</v>
      </c>
    </row>
    <row r="443" spans="1:3">
      <c r="A443">
        <v>1948177</v>
      </c>
      <c r="B443" t="s">
        <v>15</v>
      </c>
      <c r="C443" s="5">
        <v>1.62620399350998e-5</v>
      </c>
    </row>
    <row r="444" spans="1:3">
      <c r="A444">
        <v>1948178</v>
      </c>
      <c r="B444" t="s">
        <v>17</v>
      </c>
      <c r="C444" s="5">
        <v>0.470901489257812</v>
      </c>
    </row>
    <row r="445" spans="1:3">
      <c r="A445">
        <v>1948179</v>
      </c>
      <c r="B445" t="s">
        <v>18</v>
      </c>
      <c r="C445" s="5">
        <v>0</v>
      </c>
    </row>
    <row r="446" spans="1:3">
      <c r="A446">
        <v>1948180</v>
      </c>
      <c r="B446" t="s">
        <v>19</v>
      </c>
      <c r="C446" s="5">
        <v>0.470901489257812</v>
      </c>
    </row>
    <row r="447" spans="1:3">
      <c r="A447">
        <v>1948425</v>
      </c>
      <c r="B447" t="s">
        <v>16</v>
      </c>
      <c r="C447" s="5">
        <v>2.245315045e-11</v>
      </c>
    </row>
    <row r="448" spans="1:3">
      <c r="A448">
        <v>1948426</v>
      </c>
      <c r="B448" t="s">
        <v>13</v>
      </c>
      <c r="C448" s="5">
        <v>1.62600717885652e-5</v>
      </c>
    </row>
    <row r="449" spans="1:3">
      <c r="A449">
        <v>1948427</v>
      </c>
      <c r="B449" t="s">
        <v>15</v>
      </c>
      <c r="C449" s="5">
        <v>1.62629057740559e-5</v>
      </c>
    </row>
    <row r="450" spans="1:3">
      <c r="A450">
        <v>1948428</v>
      </c>
      <c r="B450" t="s">
        <v>17</v>
      </c>
      <c r="C450" s="5">
        <v>1.081787109375</v>
      </c>
    </row>
    <row r="451" spans="1:3">
      <c r="A451">
        <v>1948429</v>
      </c>
      <c r="B451" t="s">
        <v>18</v>
      </c>
      <c r="C451" s="5">
        <v>0</v>
      </c>
    </row>
    <row r="452" spans="1:3">
      <c r="A452">
        <v>1948430</v>
      </c>
      <c r="B452" t="s">
        <v>19</v>
      </c>
      <c r="C452" s="5">
        <v>1.081787109375</v>
      </c>
    </row>
    <row r="453" spans="1:3">
      <c r="A453">
        <v>1948675</v>
      </c>
      <c r="B453" t="s">
        <v>16</v>
      </c>
      <c r="C453" s="5">
        <v>2.114575182e-11</v>
      </c>
    </row>
    <row r="454" spans="1:3">
      <c r="A454">
        <v>1948676</v>
      </c>
      <c r="B454" t="s">
        <v>13</v>
      </c>
      <c r="C454" s="5">
        <v>1.62640535563696e-5</v>
      </c>
    </row>
    <row r="455" spans="1:3">
      <c r="A455">
        <v>1948677</v>
      </c>
      <c r="B455" t="s">
        <v>15</v>
      </c>
      <c r="C455" s="5">
        <v>1.62608994287438e-5</v>
      </c>
    </row>
    <row r="456" spans="1:3">
      <c r="A456">
        <v>1948678</v>
      </c>
      <c r="B456" t="s">
        <v>17</v>
      </c>
      <c r="C456" s="5">
        <v>1.01860046386718</v>
      </c>
    </row>
    <row r="457" spans="1:3">
      <c r="A457">
        <v>1948679</v>
      </c>
      <c r="B457" t="s">
        <v>18</v>
      </c>
      <c r="C457" s="5">
        <v>0</v>
      </c>
    </row>
    <row r="458" spans="1:3">
      <c r="A458">
        <v>1948680</v>
      </c>
      <c r="B458" t="s">
        <v>19</v>
      </c>
      <c r="C458" s="5">
        <v>1.01860046386718</v>
      </c>
    </row>
    <row r="459" spans="1:3">
      <c r="A459">
        <v>1948925</v>
      </c>
      <c r="B459" t="s">
        <v>16</v>
      </c>
      <c r="C459">
        <v>-6.0254024e-12</v>
      </c>
    </row>
    <row r="460" spans="1:3">
      <c r="A460">
        <v>1948926</v>
      </c>
      <c r="B460" t="s">
        <v>13</v>
      </c>
      <c r="C460" s="5">
        <v>1.62604410434141e-5</v>
      </c>
    </row>
    <row r="461" spans="1:3">
      <c r="A461">
        <v>1948927</v>
      </c>
      <c r="B461" t="s">
        <v>15</v>
      </c>
      <c r="C461" s="5">
        <v>1.62579272000584e-5</v>
      </c>
    </row>
    <row r="462" spans="1:3">
      <c r="A462">
        <v>1948928</v>
      </c>
      <c r="B462" t="s">
        <v>17</v>
      </c>
      <c r="C462">
        <v>-0.290283203125</v>
      </c>
    </row>
    <row r="463" spans="1:3">
      <c r="A463">
        <v>1948929</v>
      </c>
      <c r="B463" t="s">
        <v>18</v>
      </c>
      <c r="C463" s="5">
        <v>0</v>
      </c>
    </row>
    <row r="464" spans="1:3">
      <c r="A464">
        <v>1948930</v>
      </c>
      <c r="B464" t="s">
        <v>19</v>
      </c>
      <c r="C464">
        <v>-0.290283203125</v>
      </c>
    </row>
    <row r="465" spans="1:3">
      <c r="A465">
        <v>1949175</v>
      </c>
      <c r="B465" t="s">
        <v>16</v>
      </c>
      <c r="C465">
        <v>-1.006128514e-11</v>
      </c>
    </row>
    <row r="466" spans="1:3">
      <c r="A466">
        <v>1949176</v>
      </c>
      <c r="B466" t="s">
        <v>13</v>
      </c>
      <c r="C466" s="5">
        <v>1.62616997840814e-5</v>
      </c>
    </row>
    <row r="467" spans="1:3">
      <c r="A467">
        <v>1949177</v>
      </c>
      <c r="B467" t="s">
        <v>15</v>
      </c>
      <c r="C467" s="5">
        <v>1.62621381605276e-5</v>
      </c>
    </row>
    <row r="468" spans="1:3">
      <c r="A468">
        <v>1949178</v>
      </c>
      <c r="B468" t="s">
        <v>17</v>
      </c>
      <c r="C468">
        <v>-0.484710693359375</v>
      </c>
    </row>
    <row r="469" spans="1:3">
      <c r="A469">
        <v>1949179</v>
      </c>
      <c r="B469" t="s">
        <v>18</v>
      </c>
      <c r="C469" s="5">
        <v>0</v>
      </c>
    </row>
    <row r="470" spans="1:3">
      <c r="A470">
        <v>1949180</v>
      </c>
      <c r="B470" t="s">
        <v>19</v>
      </c>
      <c r="C470">
        <v>-0.484710693359375</v>
      </c>
    </row>
    <row r="471" spans="1:3">
      <c r="A471">
        <v>1949425</v>
      </c>
      <c r="B471" t="s">
        <v>16</v>
      </c>
      <c r="C471" s="5">
        <v>4.013145372e-11</v>
      </c>
    </row>
    <row r="472" spans="1:3">
      <c r="A472">
        <v>1949426</v>
      </c>
      <c r="B472" t="s">
        <v>13</v>
      </c>
      <c r="C472" s="5">
        <v>1.62588039529509e-5</v>
      </c>
    </row>
    <row r="473" spans="1:3">
      <c r="A473">
        <v>1949427</v>
      </c>
      <c r="B473" t="s">
        <v>15</v>
      </c>
      <c r="C473" s="5">
        <v>1.62640535563696e-5</v>
      </c>
    </row>
    <row r="474" spans="1:3">
      <c r="A474">
        <v>1949428</v>
      </c>
      <c r="B474" t="s">
        <v>17</v>
      </c>
      <c r="C474" s="5">
        <v>1.93357849121093</v>
      </c>
    </row>
    <row r="475" spans="1:3">
      <c r="A475">
        <v>1949429</v>
      </c>
      <c r="B475" t="s">
        <v>18</v>
      </c>
      <c r="C475" s="5">
        <v>0</v>
      </c>
    </row>
    <row r="476" spans="1:3">
      <c r="A476">
        <v>1949430</v>
      </c>
      <c r="B476" t="s">
        <v>19</v>
      </c>
      <c r="C476" s="5">
        <v>1.93357849121093</v>
      </c>
    </row>
    <row r="477" spans="1:3">
      <c r="A477">
        <v>1949675</v>
      </c>
      <c r="B477" t="s">
        <v>16</v>
      </c>
      <c r="C477" s="5">
        <v>4.26325641e-12</v>
      </c>
    </row>
    <row r="478" spans="1:3">
      <c r="A478">
        <v>1949676</v>
      </c>
      <c r="B478" t="s">
        <v>13</v>
      </c>
      <c r="C478" s="5">
        <v>1.62635806191247e-5</v>
      </c>
    </row>
    <row r="479" spans="1:3">
      <c r="A479">
        <v>1949677</v>
      </c>
      <c r="B479" t="s">
        <v>15</v>
      </c>
      <c r="C479" s="5">
        <v>1.62624583026627e-5</v>
      </c>
    </row>
    <row r="480" spans="1:3">
      <c r="A480">
        <v>1949678</v>
      </c>
      <c r="B480" t="s">
        <v>17</v>
      </c>
      <c r="C480" s="5">
        <v>0.205307006835937</v>
      </c>
    </row>
    <row r="481" spans="1:3">
      <c r="A481">
        <v>1949679</v>
      </c>
      <c r="B481" t="s">
        <v>18</v>
      </c>
      <c r="C481" s="5">
        <v>0</v>
      </c>
    </row>
    <row r="482" spans="1:3">
      <c r="A482">
        <v>1949680</v>
      </c>
      <c r="B482" t="s">
        <v>19</v>
      </c>
      <c r="C482" s="5">
        <v>0.205307006835937</v>
      </c>
    </row>
    <row r="483" spans="1:3">
      <c r="A483">
        <v>1949925</v>
      </c>
      <c r="B483" t="s">
        <v>16</v>
      </c>
      <c r="C483" s="5">
        <v>8.18545232e-12</v>
      </c>
    </row>
    <row r="484" spans="1:3">
      <c r="A484">
        <v>1949926</v>
      </c>
      <c r="B484" t="s">
        <v>13</v>
      </c>
      <c r="C484" s="5">
        <v>1.62608994287438e-5</v>
      </c>
    </row>
    <row r="485" spans="1:3">
      <c r="A485">
        <v>1949927</v>
      </c>
      <c r="B485" t="s">
        <v>15</v>
      </c>
      <c r="C485" s="5">
        <v>1.62612886924762e-5</v>
      </c>
    </row>
    <row r="486" spans="1:3">
      <c r="A486">
        <v>1949928</v>
      </c>
      <c r="B486" t="s">
        <v>17</v>
      </c>
      <c r="C486" s="5">
        <v>0.394287109375</v>
      </c>
    </row>
    <row r="487" spans="1:3">
      <c r="A487">
        <v>1949929</v>
      </c>
      <c r="B487" t="s">
        <v>18</v>
      </c>
      <c r="C487" s="5">
        <v>0</v>
      </c>
    </row>
    <row r="488" spans="1:3">
      <c r="A488">
        <v>1949930</v>
      </c>
      <c r="B488" t="s">
        <v>19</v>
      </c>
      <c r="C488" s="5">
        <v>0.394287109375</v>
      </c>
    </row>
    <row r="489" spans="1:3">
      <c r="A489">
        <v>1950175</v>
      </c>
      <c r="B489" t="s">
        <v>16</v>
      </c>
      <c r="C489">
        <v>-1.801936378e-11</v>
      </c>
    </row>
    <row r="490" spans="1:3">
      <c r="A490">
        <v>1950176</v>
      </c>
      <c r="B490" t="s">
        <v>13</v>
      </c>
      <c r="C490" s="5">
        <v>1.62602045747917e-5</v>
      </c>
    </row>
    <row r="491" spans="1:3">
      <c r="A491">
        <v>1950177</v>
      </c>
      <c r="B491" t="s">
        <v>15</v>
      </c>
      <c r="C491" s="5">
        <v>1.62608994287438e-5</v>
      </c>
    </row>
    <row r="492" spans="1:3">
      <c r="A492">
        <v>1950178</v>
      </c>
      <c r="B492" t="s">
        <v>17</v>
      </c>
      <c r="C492">
        <v>-0.868316650390625</v>
      </c>
    </row>
    <row r="493" spans="1:3">
      <c r="A493">
        <v>1950179</v>
      </c>
      <c r="B493" t="s">
        <v>18</v>
      </c>
      <c r="C493" s="5">
        <v>0</v>
      </c>
    </row>
    <row r="494" spans="1:3">
      <c r="A494">
        <v>1950180</v>
      </c>
      <c r="B494" t="s">
        <v>19</v>
      </c>
      <c r="C494">
        <v>-0.868316650390625</v>
      </c>
    </row>
    <row r="495" spans="1:3">
      <c r="A495">
        <v>1950425</v>
      </c>
      <c r="B495" t="s">
        <v>16</v>
      </c>
      <c r="C495" s="5">
        <v>3.996092346e-11</v>
      </c>
    </row>
    <row r="496" spans="1:3">
      <c r="A496">
        <v>1950426</v>
      </c>
      <c r="B496" t="s">
        <v>13</v>
      </c>
      <c r="C496" s="5">
        <v>1.62612886924762e-5</v>
      </c>
    </row>
    <row r="497" spans="1:3">
      <c r="A497">
        <v>1950427</v>
      </c>
      <c r="B497" t="s">
        <v>15</v>
      </c>
      <c r="C497" s="5">
        <v>1.62635806191247e-5</v>
      </c>
    </row>
    <row r="498" spans="1:3">
      <c r="A498">
        <v>1950428</v>
      </c>
      <c r="B498" t="s">
        <v>17</v>
      </c>
      <c r="C498" s="5">
        <v>1.92521667480468</v>
      </c>
    </row>
    <row r="499" spans="1:3">
      <c r="A499">
        <v>1950429</v>
      </c>
      <c r="B499" t="s">
        <v>18</v>
      </c>
      <c r="C499" s="5">
        <v>0</v>
      </c>
    </row>
    <row r="500" spans="1:3">
      <c r="A500">
        <v>1950430</v>
      </c>
      <c r="B500" t="s">
        <v>19</v>
      </c>
      <c r="C500" s="5">
        <v>1.92521667480468</v>
      </c>
    </row>
    <row r="501" spans="1:3">
      <c r="A501">
        <v>1950675</v>
      </c>
      <c r="B501" t="s">
        <v>16</v>
      </c>
      <c r="C501" s="5">
        <v>2.245315045e-11</v>
      </c>
    </row>
    <row r="502" spans="1:3">
      <c r="A502">
        <v>1950676</v>
      </c>
      <c r="B502" t="s">
        <v>13</v>
      </c>
      <c r="C502" s="5">
        <v>1.62631422426784e-5</v>
      </c>
    </row>
    <row r="503" spans="1:3">
      <c r="A503">
        <v>1950677</v>
      </c>
      <c r="B503" t="s">
        <v>15</v>
      </c>
      <c r="C503" s="5">
        <v>1.62608994287438e-5</v>
      </c>
    </row>
    <row r="504" spans="1:3">
      <c r="A504">
        <v>1950678</v>
      </c>
      <c r="B504" t="s">
        <v>17</v>
      </c>
      <c r="C504" s="5">
        <v>1.081787109375</v>
      </c>
    </row>
    <row r="505" spans="1:3">
      <c r="A505">
        <v>1950679</v>
      </c>
      <c r="B505" t="s">
        <v>18</v>
      </c>
      <c r="C505" s="5">
        <v>0</v>
      </c>
    </row>
    <row r="506" spans="1:3">
      <c r="A506">
        <v>1950680</v>
      </c>
      <c r="B506" t="s">
        <v>19</v>
      </c>
      <c r="C506" s="5">
        <v>1.081787109375</v>
      </c>
    </row>
    <row r="507" spans="1:3">
      <c r="A507">
        <v>1950925</v>
      </c>
      <c r="B507" t="s">
        <v>16</v>
      </c>
      <c r="C507" s="5">
        <v>1.369926395e-11</v>
      </c>
    </row>
    <row r="508" spans="1:3">
      <c r="A508">
        <v>1950926</v>
      </c>
      <c r="B508" t="s">
        <v>13</v>
      </c>
      <c r="C508" s="5">
        <v>1.62640535563696e-5</v>
      </c>
    </row>
    <row r="509" spans="1:3">
      <c r="A509">
        <v>1950927</v>
      </c>
      <c r="B509" t="s">
        <v>15</v>
      </c>
      <c r="C509" s="5">
        <v>1.62605447258101e-5</v>
      </c>
    </row>
    <row r="510" spans="1:3">
      <c r="A510">
        <v>1950928</v>
      </c>
      <c r="B510" t="s">
        <v>17</v>
      </c>
      <c r="C510" s="5">
        <v>0.659881591796875</v>
      </c>
    </row>
    <row r="511" spans="1:3">
      <c r="A511">
        <v>1950929</v>
      </c>
      <c r="B511" t="s">
        <v>18</v>
      </c>
      <c r="C511" s="5">
        <v>0</v>
      </c>
    </row>
    <row r="512" spans="1:3">
      <c r="A512">
        <v>1950930</v>
      </c>
      <c r="B512" t="s">
        <v>19</v>
      </c>
      <c r="C512" s="5">
        <v>0.659881591796875</v>
      </c>
    </row>
    <row r="513" spans="1:3">
      <c r="A513">
        <v>1951175</v>
      </c>
      <c r="B513" t="s">
        <v>16</v>
      </c>
      <c r="C513" s="5">
        <v>2.5920599e-11</v>
      </c>
    </row>
    <row r="514" spans="1:3">
      <c r="A514">
        <v>1951176</v>
      </c>
      <c r="B514" t="s">
        <v>13</v>
      </c>
      <c r="C514" s="5">
        <v>1.62608994287438e-5</v>
      </c>
    </row>
    <row r="515" spans="1:3">
      <c r="A515">
        <v>1951177</v>
      </c>
      <c r="B515" t="s">
        <v>15</v>
      </c>
      <c r="C515" s="5">
        <v>1.62640535563696e-5</v>
      </c>
    </row>
    <row r="516" spans="1:3">
      <c r="A516">
        <v>1951178</v>
      </c>
      <c r="B516" t="s">
        <v>17</v>
      </c>
      <c r="C516" s="5">
        <v>1.24879455566406</v>
      </c>
    </row>
    <row r="517" spans="1:3">
      <c r="A517">
        <v>1951179</v>
      </c>
      <c r="B517" t="s">
        <v>18</v>
      </c>
      <c r="C517" s="5">
        <v>0</v>
      </c>
    </row>
    <row r="518" spans="1:3">
      <c r="A518">
        <v>1951180</v>
      </c>
      <c r="B518" t="s">
        <v>19</v>
      </c>
      <c r="C518" s="5">
        <v>1.24879455566406</v>
      </c>
    </row>
    <row r="519" spans="1:3">
      <c r="A519">
        <v>1951425</v>
      </c>
      <c r="B519" t="s">
        <v>16</v>
      </c>
      <c r="C519" s="5">
        <v>2.086153472e-11</v>
      </c>
    </row>
    <row r="520" spans="1:3">
      <c r="A520">
        <v>1951426</v>
      </c>
      <c r="B520" t="s">
        <v>13</v>
      </c>
      <c r="C520" s="5">
        <v>1.62616997840814e-5</v>
      </c>
    </row>
    <row r="521" spans="1:3">
      <c r="A521">
        <v>1951427</v>
      </c>
      <c r="B521" t="s">
        <v>15</v>
      </c>
      <c r="C521" s="5">
        <v>1.62629057740559e-5</v>
      </c>
    </row>
    <row r="522" spans="1:3">
      <c r="A522">
        <v>1951428</v>
      </c>
      <c r="B522" t="s">
        <v>17</v>
      </c>
      <c r="C522" s="5">
        <v>1.00498962402343</v>
      </c>
    </row>
    <row r="523" spans="1:3">
      <c r="A523">
        <v>1951429</v>
      </c>
      <c r="B523" t="s">
        <v>18</v>
      </c>
      <c r="C523" s="5">
        <v>0</v>
      </c>
    </row>
    <row r="524" spans="1:3">
      <c r="A524">
        <v>1951430</v>
      </c>
      <c r="B524" t="s">
        <v>19</v>
      </c>
      <c r="C524" s="5">
        <v>1.00498962402343</v>
      </c>
    </row>
    <row r="525" spans="1:3">
      <c r="A525">
        <v>1951675</v>
      </c>
      <c r="B525" t="s">
        <v>16</v>
      </c>
      <c r="C525" s="5">
        <v>4.200728654e-11</v>
      </c>
    </row>
    <row r="526" spans="1:3">
      <c r="A526">
        <v>1951676</v>
      </c>
      <c r="B526" t="s">
        <v>13</v>
      </c>
      <c r="C526" s="5">
        <v>1.62635806191247e-5</v>
      </c>
    </row>
    <row r="527" spans="1:3">
      <c r="A527">
        <v>1951677</v>
      </c>
      <c r="B527" t="s">
        <v>15</v>
      </c>
      <c r="C527" s="5">
        <v>1.62605447258101e-5</v>
      </c>
    </row>
    <row r="528" spans="1:3">
      <c r="A528">
        <v>1951678</v>
      </c>
      <c r="B528" t="s">
        <v>17</v>
      </c>
      <c r="C528" s="5">
        <v>2.02398681640625</v>
      </c>
    </row>
    <row r="529" spans="1:3">
      <c r="A529">
        <v>1951679</v>
      </c>
      <c r="B529" t="s">
        <v>18</v>
      </c>
      <c r="C529" s="5">
        <v>0</v>
      </c>
    </row>
    <row r="530" spans="1:3">
      <c r="A530">
        <v>1951680</v>
      </c>
      <c r="B530" t="s">
        <v>19</v>
      </c>
      <c r="C530" s="5">
        <v>2.02398681640625</v>
      </c>
    </row>
    <row r="531" spans="1:3">
      <c r="A531">
        <v>1951925</v>
      </c>
      <c r="B531" t="s">
        <v>16</v>
      </c>
      <c r="C531" s="5">
        <v>1.267608241e-11</v>
      </c>
    </row>
    <row r="532" spans="1:3">
      <c r="A532">
        <v>1951926</v>
      </c>
      <c r="B532" t="s">
        <v>13</v>
      </c>
      <c r="C532" s="5">
        <v>1.62612886924762e-5</v>
      </c>
    </row>
    <row r="533" spans="1:3">
      <c r="A533">
        <v>1951927</v>
      </c>
      <c r="B533" t="s">
        <v>15</v>
      </c>
      <c r="C533" s="5">
        <v>1.62608994287438e-5</v>
      </c>
    </row>
    <row r="534" spans="1:3">
      <c r="A534">
        <v>1951928</v>
      </c>
      <c r="B534" t="s">
        <v>17</v>
      </c>
      <c r="C534" s="5">
        <v>0.610687255859375</v>
      </c>
    </row>
    <row r="535" spans="1:3">
      <c r="A535">
        <v>1951929</v>
      </c>
      <c r="B535" t="s">
        <v>18</v>
      </c>
      <c r="C535" s="5">
        <v>0</v>
      </c>
    </row>
    <row r="536" spans="1:3">
      <c r="A536">
        <v>1951930</v>
      </c>
      <c r="B536" t="s">
        <v>19</v>
      </c>
      <c r="C536" s="5">
        <v>0.610687255859375</v>
      </c>
    </row>
    <row r="537" spans="1:3">
      <c r="A537">
        <v>1952176</v>
      </c>
      <c r="B537" t="s">
        <v>16</v>
      </c>
      <c r="C537">
        <v>-5.1159077e-13</v>
      </c>
    </row>
    <row r="538" spans="1:3">
      <c r="A538">
        <v>1952177</v>
      </c>
      <c r="B538" t="s">
        <v>13</v>
      </c>
      <c r="C538" s="5">
        <v>1.62579272000584e-5</v>
      </c>
    </row>
    <row r="539" spans="1:3">
      <c r="A539">
        <v>1952178</v>
      </c>
      <c r="B539" t="s">
        <v>15</v>
      </c>
      <c r="C539" s="5">
        <v>1.62608994287438e-5</v>
      </c>
    </row>
    <row r="540" spans="1:3">
      <c r="A540">
        <v>1952178</v>
      </c>
      <c r="B540" t="s">
        <v>17</v>
      </c>
      <c r="C540">
        <v>-0.024505615234375</v>
      </c>
    </row>
    <row r="541" spans="1:3">
      <c r="A541">
        <v>1952179</v>
      </c>
      <c r="B541" t="s">
        <v>18</v>
      </c>
      <c r="C541" s="5">
        <v>0</v>
      </c>
    </row>
    <row r="542" spans="1:3">
      <c r="A542">
        <v>1952180</v>
      </c>
      <c r="B542" t="s">
        <v>19</v>
      </c>
      <c r="C542">
        <v>-0.024505615234375</v>
      </c>
    </row>
    <row r="543" spans="1:3">
      <c r="A543">
        <v>1952425</v>
      </c>
      <c r="B543" t="s">
        <v>16</v>
      </c>
      <c r="C543" s="5">
        <v>4.632738637e-11</v>
      </c>
    </row>
    <row r="544" spans="1:3">
      <c r="A544">
        <v>1952426</v>
      </c>
      <c r="B544" t="s">
        <v>13</v>
      </c>
      <c r="C544" s="5">
        <v>1.62600717885652e-5</v>
      </c>
    </row>
    <row r="545" spans="1:3">
      <c r="A545">
        <v>1952427</v>
      </c>
      <c r="B545" t="s">
        <v>15</v>
      </c>
      <c r="C545" s="5">
        <v>1.62629057740559e-5</v>
      </c>
    </row>
    <row r="546" spans="1:3">
      <c r="A546">
        <v>1952428</v>
      </c>
      <c r="B546" t="s">
        <v>17</v>
      </c>
      <c r="C546" s="5">
        <v>2.23220825195312</v>
      </c>
    </row>
    <row r="547" spans="1:3">
      <c r="A547">
        <v>1952429</v>
      </c>
      <c r="B547" t="s">
        <v>18</v>
      </c>
      <c r="C547" s="5">
        <v>0</v>
      </c>
    </row>
    <row r="548" spans="1:3">
      <c r="A548">
        <v>1952430</v>
      </c>
      <c r="B548" t="s">
        <v>19</v>
      </c>
      <c r="C548" s="5">
        <v>2.23220825195312</v>
      </c>
    </row>
    <row r="549" spans="1:3">
      <c r="A549">
        <v>1952675</v>
      </c>
      <c r="B549" t="s">
        <v>16</v>
      </c>
      <c r="C549">
        <v>-1.517719284e-11</v>
      </c>
    </row>
    <row r="550" spans="1:3">
      <c r="A550">
        <v>1952676</v>
      </c>
      <c r="B550" t="s">
        <v>13</v>
      </c>
      <c r="C550" s="5">
        <v>1.62633787113009e-5</v>
      </c>
    </row>
    <row r="551" spans="1:3">
      <c r="A551">
        <v>1952677</v>
      </c>
      <c r="B551" t="s">
        <v>15</v>
      </c>
      <c r="C551" s="5">
        <v>1.62616543093463e-5</v>
      </c>
    </row>
    <row r="552" spans="1:3">
      <c r="A552">
        <v>1952678</v>
      </c>
      <c r="B552" t="s">
        <v>17</v>
      </c>
      <c r="C552">
        <v>-0.731048583984375</v>
      </c>
    </row>
    <row r="553" spans="1:3">
      <c r="A553">
        <v>1952679</v>
      </c>
      <c r="B553" t="s">
        <v>18</v>
      </c>
      <c r="C553" s="5">
        <v>0</v>
      </c>
    </row>
    <row r="554" spans="1:3">
      <c r="A554">
        <v>1952680</v>
      </c>
      <c r="B554" t="s">
        <v>19</v>
      </c>
      <c r="C554">
        <v>-0.731048583984375</v>
      </c>
    </row>
    <row r="555" spans="1:3">
      <c r="A555">
        <v>1952925</v>
      </c>
      <c r="B555" t="s">
        <v>16</v>
      </c>
      <c r="C555" s="5">
        <v>1.193711796e-11</v>
      </c>
    </row>
    <row r="556" spans="1:3">
      <c r="A556">
        <v>1952926</v>
      </c>
      <c r="B556" t="s">
        <v>13</v>
      </c>
      <c r="C556" s="5">
        <v>1.62640535563696e-5</v>
      </c>
    </row>
    <row r="557" spans="1:3">
      <c r="A557">
        <v>1952927</v>
      </c>
      <c r="B557" t="s">
        <v>15</v>
      </c>
      <c r="C557" s="5">
        <v>1.62620399350998e-5</v>
      </c>
    </row>
    <row r="558" spans="1:3">
      <c r="A558">
        <v>1952928</v>
      </c>
      <c r="B558" t="s">
        <v>17</v>
      </c>
      <c r="C558" s="5">
        <v>0.574920654296875</v>
      </c>
    </row>
    <row r="559" spans="1:3">
      <c r="A559">
        <v>1952929</v>
      </c>
      <c r="B559" t="s">
        <v>18</v>
      </c>
      <c r="C559" s="5">
        <v>0</v>
      </c>
    </row>
    <row r="560" spans="1:3">
      <c r="A560">
        <v>1952930</v>
      </c>
      <c r="B560" t="s">
        <v>19</v>
      </c>
      <c r="C560" s="5">
        <v>0.574920654296875</v>
      </c>
    </row>
    <row r="561" spans="1:3">
      <c r="A561">
        <v>1953175</v>
      </c>
      <c r="B561" t="s">
        <v>16</v>
      </c>
      <c r="C561" s="5">
        <v>2.302158464e-11</v>
      </c>
    </row>
    <row r="562" spans="1:3">
      <c r="A562">
        <v>1953176</v>
      </c>
      <c r="B562" t="s">
        <v>13</v>
      </c>
      <c r="C562" s="5">
        <v>1.62612886924762e-5</v>
      </c>
    </row>
    <row r="563" spans="1:3">
      <c r="A563">
        <v>1953177</v>
      </c>
      <c r="B563" t="s">
        <v>15</v>
      </c>
      <c r="C563" s="5">
        <v>1.62588039529509e-5</v>
      </c>
    </row>
    <row r="564" spans="1:3">
      <c r="A564">
        <v>1953178</v>
      </c>
      <c r="B564" t="s">
        <v>17</v>
      </c>
      <c r="C564" s="5">
        <v>1.10939025878906</v>
      </c>
    </row>
    <row r="565" spans="1:3">
      <c r="A565">
        <v>1953179</v>
      </c>
      <c r="B565" t="s">
        <v>18</v>
      </c>
      <c r="C565" s="5">
        <v>0</v>
      </c>
    </row>
    <row r="566" spans="1:3">
      <c r="A566">
        <v>1953180</v>
      </c>
      <c r="B566" t="s">
        <v>19</v>
      </c>
      <c r="C566" s="5">
        <v>1.10939025878906</v>
      </c>
    </row>
    <row r="567" spans="1:3">
      <c r="A567">
        <v>1953425</v>
      </c>
      <c r="B567" t="s">
        <v>16</v>
      </c>
      <c r="C567">
        <v>-1.307398634e-11</v>
      </c>
    </row>
    <row r="568" spans="1:3">
      <c r="A568">
        <v>1953425</v>
      </c>
      <c r="B568" t="s">
        <v>13</v>
      </c>
      <c r="C568" s="5">
        <v>1.62640535563696e-5</v>
      </c>
    </row>
    <row r="569" spans="1:3">
      <c r="A569">
        <v>1953427</v>
      </c>
      <c r="B569" t="s">
        <v>15</v>
      </c>
      <c r="C569" s="5">
        <v>1.62620399350998e-5</v>
      </c>
    </row>
    <row r="570" spans="1:3">
      <c r="A570">
        <v>1953428</v>
      </c>
      <c r="B570" t="s">
        <v>17</v>
      </c>
      <c r="C570">
        <v>-0.6297607421875</v>
      </c>
    </row>
    <row r="571" spans="1:3">
      <c r="A571">
        <v>1953429</v>
      </c>
      <c r="B571" t="s">
        <v>18</v>
      </c>
      <c r="C571" s="5">
        <v>0</v>
      </c>
    </row>
    <row r="572" spans="1:3">
      <c r="A572">
        <v>1953430</v>
      </c>
      <c r="B572" t="s">
        <v>19</v>
      </c>
      <c r="C572">
        <v>-0.6297607421875</v>
      </c>
    </row>
    <row r="573" spans="1:3">
      <c r="A573">
        <v>1953675</v>
      </c>
      <c r="B573" t="s">
        <v>16</v>
      </c>
      <c r="C573" s="5">
        <v>5.024958227e-11</v>
      </c>
    </row>
    <row r="574" spans="1:3">
      <c r="A574">
        <v>1953676</v>
      </c>
      <c r="B574" t="s">
        <v>13</v>
      </c>
      <c r="C574" s="5">
        <v>1.62620399350998e-5</v>
      </c>
    </row>
    <row r="575" spans="1:3">
      <c r="A575">
        <v>1953677</v>
      </c>
      <c r="B575" t="s">
        <v>15</v>
      </c>
      <c r="C575" s="5">
        <v>1.62612886924762e-5</v>
      </c>
    </row>
    <row r="576" spans="1:3">
      <c r="A576">
        <v>1953678</v>
      </c>
      <c r="B576" t="s">
        <v>17</v>
      </c>
      <c r="C576" s="5">
        <v>2.42120361328125</v>
      </c>
    </row>
    <row r="577" spans="1:3">
      <c r="A577">
        <v>1953679</v>
      </c>
      <c r="B577" t="s">
        <v>18</v>
      </c>
      <c r="C577" s="5">
        <v>0</v>
      </c>
    </row>
    <row r="578" spans="1:3">
      <c r="A578">
        <v>1953680</v>
      </c>
      <c r="B578" t="s">
        <v>19</v>
      </c>
      <c r="C578" s="5">
        <v>2.42120361328125</v>
      </c>
    </row>
    <row r="579" spans="1:3">
      <c r="A579">
        <v>1953925</v>
      </c>
      <c r="B579" t="s">
        <v>16</v>
      </c>
      <c r="C579" s="5">
        <v>5.985612006e-11</v>
      </c>
    </row>
    <row r="580" spans="1:3">
      <c r="A580">
        <v>1953926</v>
      </c>
      <c r="B580" t="s">
        <v>13</v>
      </c>
      <c r="C580" s="5">
        <v>1.62602045747917e-5</v>
      </c>
    </row>
    <row r="581" spans="1:3">
      <c r="A581">
        <v>1953927</v>
      </c>
      <c r="B581" t="s">
        <v>15</v>
      </c>
      <c r="C581" s="5">
        <v>1.62597207236103e-5</v>
      </c>
    </row>
    <row r="582" spans="1:3">
      <c r="A582">
        <v>1953928</v>
      </c>
      <c r="B582" t="s">
        <v>17</v>
      </c>
      <c r="C582" s="5">
        <v>2.88471984863281</v>
      </c>
    </row>
    <row r="583" spans="1:3">
      <c r="A583">
        <v>1953929</v>
      </c>
      <c r="B583" t="s">
        <v>18</v>
      </c>
      <c r="C583" s="5">
        <v>0</v>
      </c>
    </row>
    <row r="584" spans="1:3">
      <c r="A584">
        <v>1953930</v>
      </c>
      <c r="B584" t="s">
        <v>19</v>
      </c>
      <c r="C584" s="5">
        <v>2.88471984863281</v>
      </c>
    </row>
    <row r="585" spans="1:3">
      <c r="A585">
        <v>1954175</v>
      </c>
      <c r="B585" t="s">
        <v>16</v>
      </c>
      <c r="C585" s="5">
        <v>5.860556485e-11</v>
      </c>
    </row>
    <row r="586" spans="1:3">
      <c r="A586">
        <v>1954176</v>
      </c>
      <c r="B586" t="s">
        <v>13</v>
      </c>
      <c r="C586" s="5">
        <v>1.62608994287438e-5</v>
      </c>
    </row>
    <row r="587" spans="1:3">
      <c r="A587">
        <v>1954177</v>
      </c>
      <c r="B587" t="s">
        <v>15</v>
      </c>
      <c r="C587" s="5">
        <v>1.62629057740559e-5</v>
      </c>
    </row>
    <row r="588" spans="1:3">
      <c r="A588">
        <v>1954178</v>
      </c>
      <c r="B588" t="s">
        <v>17</v>
      </c>
      <c r="C588" s="5">
        <v>2.82366943359375</v>
      </c>
    </row>
    <row r="589" spans="1:3">
      <c r="A589">
        <v>1954179</v>
      </c>
      <c r="B589" t="s">
        <v>18</v>
      </c>
      <c r="C589" s="5">
        <v>0</v>
      </c>
    </row>
    <row r="590" spans="1:3">
      <c r="A590">
        <v>1954180</v>
      </c>
      <c r="B590" t="s">
        <v>19</v>
      </c>
      <c r="C590" s="5">
        <v>2.82366943359375</v>
      </c>
    </row>
    <row r="591" spans="1:3">
      <c r="A591">
        <v>1954425</v>
      </c>
      <c r="B591" t="s">
        <v>16</v>
      </c>
      <c r="C591" s="5">
        <v>3.564082363e-11</v>
      </c>
    </row>
    <row r="592" spans="1:3">
      <c r="A592">
        <v>1954426</v>
      </c>
      <c r="B592" t="s">
        <v>13</v>
      </c>
      <c r="C592" s="5">
        <v>1.62640535563696e-5</v>
      </c>
    </row>
    <row r="593" spans="1:3">
      <c r="A593">
        <v>1954427</v>
      </c>
      <c r="B593" t="s">
        <v>15</v>
      </c>
      <c r="C593" s="5">
        <v>1.62605447258101e-5</v>
      </c>
    </row>
    <row r="594" spans="1:3">
      <c r="A594">
        <v>1954428</v>
      </c>
      <c r="B594" t="s">
        <v>17</v>
      </c>
      <c r="C594" s="5">
        <v>1.71717834472656</v>
      </c>
    </row>
    <row r="595" spans="1:3">
      <c r="A595">
        <v>1954429</v>
      </c>
      <c r="B595" t="s">
        <v>18</v>
      </c>
      <c r="C595" s="5">
        <v>0</v>
      </c>
    </row>
    <row r="596" spans="1:3">
      <c r="A596">
        <v>1954430</v>
      </c>
      <c r="B596" t="s">
        <v>19</v>
      </c>
      <c r="C596" s="5">
        <v>1.71717834472656</v>
      </c>
    </row>
    <row r="597" spans="1:3">
      <c r="A597">
        <v>1954675</v>
      </c>
      <c r="B597" t="s">
        <v>16</v>
      </c>
      <c r="C597" s="5">
        <v>3.961986295e-11</v>
      </c>
    </row>
    <row r="598" spans="1:3">
      <c r="A598">
        <v>1954676</v>
      </c>
      <c r="B598" t="s">
        <v>13</v>
      </c>
      <c r="C598" s="5">
        <v>1.62633787113009e-5</v>
      </c>
    </row>
    <row r="599" spans="1:3">
      <c r="A599">
        <v>1954677</v>
      </c>
      <c r="B599" t="s">
        <v>15</v>
      </c>
      <c r="C599" s="5">
        <v>1.62612886924762e-5</v>
      </c>
    </row>
    <row r="600" spans="1:3">
      <c r="A600">
        <v>1954678</v>
      </c>
      <c r="B600" t="s">
        <v>17</v>
      </c>
      <c r="C600" s="5">
        <v>1.90887451171875</v>
      </c>
    </row>
    <row r="601" spans="1:3">
      <c r="A601">
        <v>1954679</v>
      </c>
      <c r="B601" t="s">
        <v>18</v>
      </c>
      <c r="C601" s="5">
        <v>0</v>
      </c>
    </row>
    <row r="602" spans="1:3">
      <c r="A602">
        <v>1954680</v>
      </c>
      <c r="B602" t="s">
        <v>19</v>
      </c>
      <c r="C602" s="5">
        <v>1.90887451171875</v>
      </c>
    </row>
    <row r="603" spans="1:3">
      <c r="A603">
        <v>1954925</v>
      </c>
      <c r="B603" t="s">
        <v>16</v>
      </c>
      <c r="C603">
        <v>-1.955413609e-11</v>
      </c>
    </row>
    <row r="604" spans="1:3">
      <c r="A604">
        <v>1954926</v>
      </c>
      <c r="B604" t="s">
        <v>13</v>
      </c>
      <c r="C604" s="5">
        <v>1.62608994287438e-5</v>
      </c>
    </row>
    <row r="605" spans="1:3">
      <c r="A605">
        <v>1954927</v>
      </c>
      <c r="B605" t="s">
        <v>15</v>
      </c>
      <c r="C605" s="5">
        <v>1.62581982294796e-5</v>
      </c>
    </row>
    <row r="606" spans="1:3">
      <c r="A606">
        <v>1954928</v>
      </c>
      <c r="B606" t="s">
        <v>17</v>
      </c>
      <c r="C606">
        <v>-0.942398071289062</v>
      </c>
    </row>
    <row r="607" spans="1:3">
      <c r="A607">
        <v>1954929</v>
      </c>
      <c r="B607" t="s">
        <v>18</v>
      </c>
      <c r="C607" s="5">
        <v>0</v>
      </c>
    </row>
    <row r="608" spans="1:3">
      <c r="A608">
        <v>1954930</v>
      </c>
      <c r="B608" t="s">
        <v>19</v>
      </c>
      <c r="C608">
        <v>-0.942398071289062</v>
      </c>
    </row>
    <row r="609" spans="1:3">
      <c r="A609">
        <v>1955175</v>
      </c>
      <c r="B609" t="s">
        <v>16</v>
      </c>
      <c r="C609" s="5">
        <v>4.342837201e-11</v>
      </c>
    </row>
    <row r="610" spans="1:3">
      <c r="A610">
        <v>1955176</v>
      </c>
      <c r="B610" t="s">
        <v>13</v>
      </c>
      <c r="C610" s="5">
        <v>1.62629057740559e-5</v>
      </c>
    </row>
    <row r="611" spans="1:3">
      <c r="A611">
        <v>1955177</v>
      </c>
      <c r="B611" t="s">
        <v>15</v>
      </c>
      <c r="C611" s="5">
        <v>1.62608994287438e-5</v>
      </c>
    </row>
    <row r="612" spans="1:3">
      <c r="A612">
        <v>1955178</v>
      </c>
      <c r="B612" t="s">
        <v>17</v>
      </c>
      <c r="C612" s="5">
        <v>2.09242248535156</v>
      </c>
    </row>
    <row r="613" spans="1:3">
      <c r="A613">
        <v>1955179</v>
      </c>
      <c r="B613" t="s">
        <v>18</v>
      </c>
      <c r="C613" s="5">
        <v>0</v>
      </c>
    </row>
    <row r="614" spans="1:3">
      <c r="A614">
        <v>1955180</v>
      </c>
      <c r="B614" t="s">
        <v>19</v>
      </c>
      <c r="C614" s="5">
        <v>2.09242248535156</v>
      </c>
    </row>
    <row r="615" spans="1:3">
      <c r="A615">
        <v>1955425</v>
      </c>
      <c r="B615" t="s">
        <v>16</v>
      </c>
      <c r="C615" s="5">
        <v>9.37916411e-12</v>
      </c>
    </row>
    <row r="616" spans="1:3">
      <c r="A616">
        <v>1955426</v>
      </c>
      <c r="B616" t="s">
        <v>13</v>
      </c>
      <c r="C616" s="5">
        <v>1.62629057740559e-5</v>
      </c>
    </row>
    <row r="617" spans="1:3">
      <c r="A617">
        <v>1955427</v>
      </c>
      <c r="B617" t="s">
        <v>15</v>
      </c>
      <c r="C617" s="5">
        <v>1.62635806191247e-5</v>
      </c>
    </row>
    <row r="618" spans="1:3">
      <c r="A618">
        <v>1955428</v>
      </c>
      <c r="B618" t="s">
        <v>17</v>
      </c>
      <c r="C618" s="5">
        <v>0.451644897460937</v>
      </c>
    </row>
    <row r="619" spans="1:3">
      <c r="A619">
        <v>1955429</v>
      </c>
      <c r="B619" t="s">
        <v>18</v>
      </c>
      <c r="C619" s="5">
        <v>0</v>
      </c>
    </row>
    <row r="620" spans="1:3">
      <c r="A620">
        <v>1955430</v>
      </c>
      <c r="B620" t="s">
        <v>19</v>
      </c>
      <c r="C620" s="5">
        <v>0.451644897460937</v>
      </c>
    </row>
    <row r="621" spans="1:3">
      <c r="A621">
        <v>1955675</v>
      </c>
      <c r="B621" t="s">
        <v>16</v>
      </c>
      <c r="C621" s="5">
        <v>6.275513442e-11</v>
      </c>
    </row>
    <row r="622" spans="1:3">
      <c r="A622">
        <v>1955676</v>
      </c>
      <c r="B622" t="s">
        <v>13</v>
      </c>
      <c r="C622" s="5">
        <v>1.62624583026627e-5</v>
      </c>
    </row>
    <row r="623" spans="1:3">
      <c r="A623">
        <v>1955677</v>
      </c>
      <c r="B623" t="s">
        <v>15</v>
      </c>
      <c r="C623" s="5">
        <v>1.62635806191247e-5</v>
      </c>
    </row>
    <row r="624" spans="1:3">
      <c r="A624">
        <v>1955678</v>
      </c>
      <c r="B624" t="s">
        <v>17</v>
      </c>
      <c r="C624" s="5">
        <v>3.02314758300781</v>
      </c>
    </row>
    <row r="625" spans="1:3">
      <c r="A625">
        <v>1955679</v>
      </c>
      <c r="B625" t="s">
        <v>18</v>
      </c>
      <c r="C625" s="5">
        <v>0</v>
      </c>
    </row>
    <row r="626" spans="1:3">
      <c r="A626">
        <v>1955679</v>
      </c>
      <c r="B626" t="s">
        <v>19</v>
      </c>
      <c r="C626" s="5">
        <v>3.02314758300781</v>
      </c>
    </row>
    <row r="627" spans="1:3">
      <c r="A627">
        <v>1955925</v>
      </c>
      <c r="B627" t="s">
        <v>16</v>
      </c>
      <c r="C627">
        <v>-5.1159077e-13</v>
      </c>
    </row>
    <row r="628" spans="1:3">
      <c r="A628">
        <v>1955926</v>
      </c>
      <c r="B628" t="s">
        <v>13</v>
      </c>
      <c r="C628" s="5">
        <v>1.62626274686772e-5</v>
      </c>
    </row>
    <row r="629" spans="1:3">
      <c r="A629">
        <v>1955927</v>
      </c>
      <c r="B629" t="s">
        <v>15</v>
      </c>
      <c r="C629" s="5">
        <v>1.62616997840814e-5</v>
      </c>
    </row>
    <row r="630" spans="1:3">
      <c r="A630">
        <v>1955928</v>
      </c>
      <c r="B630" t="s">
        <v>17</v>
      </c>
      <c r="C630">
        <v>-0.024505615234375</v>
      </c>
    </row>
    <row r="631" spans="1:3">
      <c r="A631">
        <v>1955929</v>
      </c>
      <c r="B631" t="s">
        <v>18</v>
      </c>
      <c r="C631" s="5">
        <v>0</v>
      </c>
    </row>
    <row r="632" spans="1:3">
      <c r="A632">
        <v>1955930</v>
      </c>
      <c r="B632" t="s">
        <v>19</v>
      </c>
      <c r="C632">
        <v>-0.024505615234375</v>
      </c>
    </row>
    <row r="633" spans="1:3">
      <c r="A633">
        <v>1956175</v>
      </c>
      <c r="B633" t="s">
        <v>16</v>
      </c>
      <c r="C633" s="5">
        <v>4.70095074e-11</v>
      </c>
    </row>
    <row r="634" spans="1:3">
      <c r="A634">
        <v>1956176</v>
      </c>
      <c r="B634" t="s">
        <v>13</v>
      </c>
      <c r="C634" s="5">
        <v>1.62597207236103e-5</v>
      </c>
    </row>
    <row r="635" spans="1:3">
      <c r="A635">
        <v>1956177</v>
      </c>
      <c r="B635" t="s">
        <v>15</v>
      </c>
      <c r="C635" s="5">
        <v>1.62567212100839e-5</v>
      </c>
    </row>
    <row r="636" spans="1:3">
      <c r="A636">
        <v>1956178</v>
      </c>
      <c r="B636" t="s">
        <v>17</v>
      </c>
      <c r="C636" s="5">
        <v>2.26605224609375</v>
      </c>
    </row>
    <row r="637" spans="1:3">
      <c r="A637">
        <v>1956179</v>
      </c>
      <c r="B637" t="s">
        <v>18</v>
      </c>
      <c r="C637" s="5">
        <v>0</v>
      </c>
    </row>
    <row r="638" spans="1:3">
      <c r="A638">
        <v>1956180</v>
      </c>
      <c r="B638" t="s">
        <v>19</v>
      </c>
      <c r="C638" s="5">
        <v>2.26605224609375</v>
      </c>
    </row>
    <row r="639" spans="1:3">
      <c r="A639">
        <v>1956425</v>
      </c>
      <c r="B639" t="s">
        <v>16</v>
      </c>
      <c r="C639" s="5">
        <v>1.847411113e-11</v>
      </c>
    </row>
    <row r="640" spans="1:3">
      <c r="A640">
        <v>1956426</v>
      </c>
      <c r="B640" t="s">
        <v>13</v>
      </c>
      <c r="C640" s="5">
        <v>1.62638898473233e-5</v>
      </c>
    </row>
    <row r="641" spans="1:3">
      <c r="A641">
        <v>1956427</v>
      </c>
      <c r="B641" t="s">
        <v>15</v>
      </c>
      <c r="C641" s="5">
        <v>1.62597207236103e-5</v>
      </c>
    </row>
    <row r="642" spans="1:3">
      <c r="A642">
        <v>1956428</v>
      </c>
      <c r="B642" t="s">
        <v>17</v>
      </c>
      <c r="C642" s="5">
        <v>0.89007568359375</v>
      </c>
    </row>
    <row r="643" spans="1:3">
      <c r="A643">
        <v>1956429</v>
      </c>
      <c r="B643" t="s">
        <v>18</v>
      </c>
      <c r="C643" s="5">
        <v>0</v>
      </c>
    </row>
    <row r="644" spans="1:3">
      <c r="A644">
        <v>1956430</v>
      </c>
      <c r="B644" t="s">
        <v>19</v>
      </c>
      <c r="C644" s="5">
        <v>0.89007568359375</v>
      </c>
    </row>
    <row r="645" spans="1:3">
      <c r="A645">
        <v>1956675</v>
      </c>
      <c r="B645" t="s">
        <v>16</v>
      </c>
      <c r="C645" s="5">
        <v>3.461764209e-11</v>
      </c>
    </row>
    <row r="646" spans="1:3">
      <c r="A646">
        <v>1956676</v>
      </c>
      <c r="B646" t="s">
        <v>13</v>
      </c>
      <c r="C646" s="5">
        <v>1.62621381605276e-5</v>
      </c>
    </row>
    <row r="647" spans="1:3">
      <c r="A647">
        <v>1956677</v>
      </c>
      <c r="B647" t="s">
        <v>15</v>
      </c>
      <c r="C647" s="5">
        <v>1.62612886924762e-5</v>
      </c>
    </row>
    <row r="648" spans="1:3">
      <c r="A648">
        <v>1956678</v>
      </c>
      <c r="B648" t="s">
        <v>17</v>
      </c>
      <c r="C648" s="5">
        <v>1.66798400878906</v>
      </c>
    </row>
    <row r="649" spans="1:3">
      <c r="A649">
        <v>1956679</v>
      </c>
      <c r="B649" t="s">
        <v>18</v>
      </c>
      <c r="C649" s="5">
        <v>0</v>
      </c>
    </row>
    <row r="650" spans="1:3">
      <c r="A650">
        <v>1956680</v>
      </c>
      <c r="B650" t="s">
        <v>19</v>
      </c>
      <c r="C650" s="5">
        <v>1.66798400878906</v>
      </c>
    </row>
    <row r="651" spans="1:3">
      <c r="A651">
        <v>1956925</v>
      </c>
      <c r="B651" t="s">
        <v>16</v>
      </c>
      <c r="C651" s="5">
        <v>1.313082976e-11</v>
      </c>
    </row>
    <row r="652" spans="1:3">
      <c r="A652">
        <v>1956926</v>
      </c>
      <c r="B652" t="s">
        <v>13</v>
      </c>
      <c r="C652" s="5">
        <v>1.62593914865283e-5</v>
      </c>
    </row>
    <row r="653" spans="1:3">
      <c r="A653">
        <v>1956927</v>
      </c>
      <c r="B653" t="s">
        <v>15</v>
      </c>
      <c r="C653" s="5">
        <v>1.62593914865283e-5</v>
      </c>
    </row>
    <row r="654" spans="1:3">
      <c r="A654">
        <v>1956928</v>
      </c>
      <c r="B654" t="s">
        <v>17</v>
      </c>
      <c r="C654" s="5">
        <v>0.632858276367187</v>
      </c>
    </row>
    <row r="655" spans="1:3">
      <c r="A655">
        <v>1956929</v>
      </c>
      <c r="B655" t="s">
        <v>18</v>
      </c>
      <c r="C655" s="5">
        <v>0</v>
      </c>
    </row>
    <row r="656" spans="1:3">
      <c r="A656">
        <v>1956929</v>
      </c>
      <c r="B656" t="s">
        <v>19</v>
      </c>
      <c r="C656" s="5">
        <v>0.632858276367187</v>
      </c>
    </row>
    <row r="657" spans="1:3">
      <c r="A657">
        <v>1957175</v>
      </c>
      <c r="B657" t="s">
        <v>16</v>
      </c>
      <c r="C657" s="5">
        <v>3.291233952e-11</v>
      </c>
    </row>
    <row r="658" spans="1:3">
      <c r="A658">
        <v>1957176</v>
      </c>
      <c r="B658" t="s">
        <v>13</v>
      </c>
      <c r="C658" s="5">
        <v>1.62590858963085e-5</v>
      </c>
    </row>
    <row r="659" spans="1:3">
      <c r="A659">
        <v>1957177</v>
      </c>
      <c r="B659" t="s">
        <v>15</v>
      </c>
      <c r="C659" s="5">
        <v>1.62635806191247e-5</v>
      </c>
    </row>
    <row r="660" spans="1:3">
      <c r="A660">
        <v>1957178</v>
      </c>
      <c r="B660" t="s">
        <v>17</v>
      </c>
      <c r="C660" s="5">
        <v>1.58573913574218</v>
      </c>
    </row>
    <row r="661" spans="1:3">
      <c r="A661">
        <v>1957179</v>
      </c>
      <c r="B661" t="s">
        <v>18</v>
      </c>
      <c r="C661" s="5">
        <v>0</v>
      </c>
    </row>
    <row r="662" spans="1:3">
      <c r="A662">
        <v>1957180</v>
      </c>
      <c r="B662" t="s">
        <v>19</v>
      </c>
      <c r="C662" s="5">
        <v>1.58573913574218</v>
      </c>
    </row>
    <row r="663" spans="1:3">
      <c r="A663">
        <v>1957425</v>
      </c>
      <c r="B663" t="s">
        <v>16</v>
      </c>
      <c r="C663" s="5">
        <v>5.27506927e-11</v>
      </c>
    </row>
    <row r="664" spans="1:3">
      <c r="A664">
        <v>1957426</v>
      </c>
      <c r="B664" t="s">
        <v>13</v>
      </c>
      <c r="C664" s="5">
        <v>1.62597207236103e-5</v>
      </c>
    </row>
    <row r="665" spans="1:3">
      <c r="A665">
        <v>1957427</v>
      </c>
      <c r="B665" t="s">
        <v>15</v>
      </c>
      <c r="C665" s="5">
        <v>1.62624583026627e-5</v>
      </c>
    </row>
    <row r="666" spans="1:3">
      <c r="A666">
        <v>1957428</v>
      </c>
      <c r="B666" t="s">
        <v>17</v>
      </c>
      <c r="C666" s="5">
        <v>2.54193115234375</v>
      </c>
    </row>
    <row r="667" spans="1:3">
      <c r="A667">
        <v>1957429</v>
      </c>
      <c r="B667" t="s">
        <v>18</v>
      </c>
      <c r="C667" s="5">
        <v>0</v>
      </c>
    </row>
    <row r="668" spans="1:3">
      <c r="A668">
        <v>1957430</v>
      </c>
      <c r="B668" t="s">
        <v>19</v>
      </c>
      <c r="C668" s="5">
        <v>2.54193115234375</v>
      </c>
    </row>
    <row r="669" spans="1:3">
      <c r="A669">
        <v>1957675</v>
      </c>
      <c r="B669" t="s">
        <v>16</v>
      </c>
      <c r="C669">
        <v>-4.37694325e-12</v>
      </c>
    </row>
    <row r="670" spans="1:3">
      <c r="A670">
        <v>1957676</v>
      </c>
      <c r="B670" t="s">
        <v>13</v>
      </c>
      <c r="C670" s="5">
        <v>1.62600717885652e-5</v>
      </c>
    </row>
    <row r="671" spans="1:3">
      <c r="A671">
        <v>1957677</v>
      </c>
      <c r="B671" t="s">
        <v>15</v>
      </c>
      <c r="C671" s="5">
        <v>1.62616997840814e-5</v>
      </c>
    </row>
    <row r="672" spans="1:3">
      <c r="A672">
        <v>1957678</v>
      </c>
      <c r="B672" t="s">
        <v>17</v>
      </c>
      <c r="C672">
        <v>-0.210769653320312</v>
      </c>
    </row>
    <row r="673" spans="1:3">
      <c r="A673">
        <v>1957679</v>
      </c>
      <c r="B673" t="s">
        <v>18</v>
      </c>
      <c r="C673" s="5">
        <v>0</v>
      </c>
    </row>
    <row r="674" spans="1:3">
      <c r="A674">
        <v>1957680</v>
      </c>
      <c r="B674" t="s">
        <v>19</v>
      </c>
      <c r="C674">
        <v>-0.210769653320312</v>
      </c>
    </row>
    <row r="675" spans="1:3">
      <c r="A675">
        <v>1957925</v>
      </c>
      <c r="B675" t="s">
        <v>16</v>
      </c>
      <c r="C675" s="5">
        <v>4.71800377e-12</v>
      </c>
    </row>
    <row r="676" spans="1:3">
      <c r="A676">
        <v>1957925</v>
      </c>
      <c r="B676" t="s">
        <v>13</v>
      </c>
      <c r="C676" s="5">
        <v>1.62608994287438e-5</v>
      </c>
    </row>
    <row r="677" spans="1:3">
      <c r="A677">
        <v>1957926</v>
      </c>
      <c r="B677" t="s">
        <v>15</v>
      </c>
      <c r="C677" s="5">
        <v>1.62608994287438e-5</v>
      </c>
    </row>
    <row r="678" spans="1:3">
      <c r="A678">
        <v>1957928</v>
      </c>
      <c r="B678" t="s">
        <v>17</v>
      </c>
      <c r="C678" s="5">
        <v>0.227279663085937</v>
      </c>
    </row>
    <row r="679" spans="1:3">
      <c r="A679">
        <v>1957929</v>
      </c>
      <c r="B679" t="s">
        <v>18</v>
      </c>
      <c r="C679" s="5">
        <v>0</v>
      </c>
    </row>
    <row r="680" spans="1:3">
      <c r="A680">
        <v>1957929</v>
      </c>
      <c r="B680" t="s">
        <v>19</v>
      </c>
      <c r="C680" s="5">
        <v>0.227279663085937</v>
      </c>
    </row>
    <row r="681" spans="1:3">
      <c r="A681">
        <v>1958175</v>
      </c>
      <c r="B681" t="s">
        <v>16</v>
      </c>
      <c r="C681" s="5">
        <v>3.234390533e-11</v>
      </c>
    </row>
    <row r="682" spans="1:3">
      <c r="A682">
        <v>1958176</v>
      </c>
      <c r="B682" t="s">
        <v>13</v>
      </c>
      <c r="C682" s="5">
        <v>1.62612886924762e-5</v>
      </c>
    </row>
    <row r="683" spans="1:3">
      <c r="A683">
        <v>1958177</v>
      </c>
      <c r="B683" t="s">
        <v>15</v>
      </c>
      <c r="C683" s="5">
        <v>1.62605447258101e-5</v>
      </c>
    </row>
    <row r="684" spans="1:3">
      <c r="A684">
        <v>1958178</v>
      </c>
      <c r="B684" t="s">
        <v>17</v>
      </c>
      <c r="C684" s="5">
        <v>1.55851745605468</v>
      </c>
    </row>
    <row r="685" spans="1:3">
      <c r="A685">
        <v>1958179</v>
      </c>
      <c r="B685" t="s">
        <v>18</v>
      </c>
      <c r="C685" s="5">
        <v>0</v>
      </c>
    </row>
    <row r="686" spans="1:3">
      <c r="A686">
        <v>1958180</v>
      </c>
      <c r="B686" t="s">
        <v>19</v>
      </c>
      <c r="C686" s="5">
        <v>1.55851745605468</v>
      </c>
    </row>
    <row r="687" spans="1:3">
      <c r="A687">
        <v>1958425</v>
      </c>
      <c r="B687" t="s">
        <v>16</v>
      </c>
      <c r="C687" s="5">
        <v>6.838263289e-11</v>
      </c>
    </row>
    <row r="688" spans="1:3">
      <c r="A688">
        <v>1958426</v>
      </c>
      <c r="B688" t="s">
        <v>13</v>
      </c>
      <c r="C688" s="5">
        <v>1.62602045747917e-5</v>
      </c>
    </row>
    <row r="689" spans="1:3">
      <c r="A689">
        <v>1958427</v>
      </c>
      <c r="B689" t="s">
        <v>15</v>
      </c>
      <c r="C689" s="5">
        <v>1.62612886924762e-5</v>
      </c>
    </row>
    <row r="690" spans="1:3">
      <c r="A690">
        <v>1958428</v>
      </c>
      <c r="B690" t="s">
        <v>17</v>
      </c>
      <c r="C690" s="5">
        <v>3.29534912109375</v>
      </c>
    </row>
    <row r="691" spans="1:3">
      <c r="A691">
        <v>1958429</v>
      </c>
      <c r="B691" t="s">
        <v>18</v>
      </c>
      <c r="C691" s="5">
        <v>0</v>
      </c>
    </row>
    <row r="692" spans="1:3">
      <c r="A692">
        <v>1958430</v>
      </c>
      <c r="B692" t="s">
        <v>19</v>
      </c>
      <c r="C692" s="5">
        <v>3.29534912109375</v>
      </c>
    </row>
    <row r="693" spans="1:3">
      <c r="A693">
        <v>1958675</v>
      </c>
      <c r="B693" t="s">
        <v>16</v>
      </c>
      <c r="C693">
        <v>-5.85487214e-12</v>
      </c>
    </row>
    <row r="694" spans="1:3">
      <c r="A694">
        <v>1958676</v>
      </c>
      <c r="B694" t="s">
        <v>13</v>
      </c>
      <c r="C694" s="5">
        <v>1.62605447258101e-5</v>
      </c>
    </row>
    <row r="695" spans="1:3">
      <c r="A695">
        <v>1958677</v>
      </c>
      <c r="B695" t="s">
        <v>15</v>
      </c>
      <c r="C695" s="5">
        <v>1.62612886924762e-5</v>
      </c>
    </row>
    <row r="696" spans="1:3">
      <c r="A696">
        <v>1958678</v>
      </c>
      <c r="B696" t="s">
        <v>17</v>
      </c>
      <c r="C696">
        <v>-0.282119750976562</v>
      </c>
    </row>
    <row r="697" spans="1:3">
      <c r="A697">
        <v>1958679</v>
      </c>
      <c r="B697" t="s">
        <v>18</v>
      </c>
      <c r="C697" s="5">
        <v>0</v>
      </c>
    </row>
    <row r="698" spans="1:3">
      <c r="A698">
        <v>1958680</v>
      </c>
      <c r="B698" t="s">
        <v>19</v>
      </c>
      <c r="C698">
        <v>-0.282119750976562</v>
      </c>
    </row>
    <row r="699" spans="1:3">
      <c r="A699">
        <v>1958925</v>
      </c>
      <c r="B699" t="s">
        <v>16</v>
      </c>
      <c r="C699">
        <v>-2.38173925e-11</v>
      </c>
    </row>
    <row r="700" spans="1:3">
      <c r="A700">
        <v>1958926</v>
      </c>
      <c r="B700" t="s">
        <v>13</v>
      </c>
      <c r="C700" s="5">
        <v>1.62597207236103e-5</v>
      </c>
    </row>
    <row r="701" spans="1:3">
      <c r="A701">
        <v>1958927</v>
      </c>
      <c r="B701" t="s">
        <v>15</v>
      </c>
      <c r="C701" s="5">
        <v>1.62604410434141e-5</v>
      </c>
    </row>
    <row r="702" spans="1:3">
      <c r="A702">
        <v>1958928</v>
      </c>
      <c r="B702" t="s">
        <v>17</v>
      </c>
      <c r="C702">
        <v>-1.14772033691406</v>
      </c>
    </row>
    <row r="703" spans="1:3">
      <c r="A703">
        <v>1958929</v>
      </c>
      <c r="B703" t="s">
        <v>18</v>
      </c>
      <c r="C703" s="5">
        <v>0</v>
      </c>
    </row>
    <row r="704" spans="1:3">
      <c r="A704">
        <v>1958930</v>
      </c>
      <c r="B704" t="s">
        <v>19</v>
      </c>
      <c r="C704">
        <v>-1.14772033691406</v>
      </c>
    </row>
    <row r="705" spans="1:3">
      <c r="A705">
        <v>1959175</v>
      </c>
      <c r="B705" t="s">
        <v>16</v>
      </c>
      <c r="C705" s="5">
        <v>4.848743629e-11</v>
      </c>
    </row>
    <row r="706" spans="1:3">
      <c r="A706">
        <v>1959176</v>
      </c>
      <c r="B706" t="s">
        <v>13</v>
      </c>
      <c r="C706" s="5">
        <v>1.62605447258101e-5</v>
      </c>
    </row>
    <row r="707" spans="1:3">
      <c r="A707">
        <v>1959177</v>
      </c>
      <c r="B707" t="s">
        <v>15</v>
      </c>
      <c r="C707" s="5">
        <v>1.62608994287438e-5</v>
      </c>
    </row>
    <row r="708" spans="1:3">
      <c r="A708">
        <v>1959178</v>
      </c>
      <c r="B708" t="s">
        <v>17</v>
      </c>
      <c r="C708" s="5">
        <v>2.33642578125</v>
      </c>
    </row>
    <row r="709" spans="1:3">
      <c r="A709">
        <v>1959179</v>
      </c>
      <c r="B709" t="s">
        <v>18</v>
      </c>
      <c r="C709" s="5">
        <v>0</v>
      </c>
    </row>
    <row r="710" spans="1:3">
      <c r="A710">
        <v>1959180</v>
      </c>
      <c r="B710" t="s">
        <v>19</v>
      </c>
      <c r="C710" s="5">
        <v>2.33642578125</v>
      </c>
    </row>
    <row r="711" spans="1:3">
      <c r="A711">
        <v>1959425</v>
      </c>
      <c r="B711" t="s">
        <v>16</v>
      </c>
      <c r="C711">
        <v>-1.352873369e-11</v>
      </c>
    </row>
    <row r="712" spans="1:3">
      <c r="A712">
        <v>1959426</v>
      </c>
      <c r="B712" t="s">
        <v>13</v>
      </c>
      <c r="C712" s="5">
        <v>1.62629057740559e-5</v>
      </c>
    </row>
    <row r="713" spans="1:3">
      <c r="A713">
        <v>1959427</v>
      </c>
      <c r="B713" t="s">
        <v>15</v>
      </c>
      <c r="C713" s="5">
        <v>1.62584874487947e-5</v>
      </c>
    </row>
    <row r="714" spans="1:3">
      <c r="A714">
        <v>1959428</v>
      </c>
      <c r="B714" t="s">
        <v>17</v>
      </c>
      <c r="C714">
        <v>-0.65191650390625</v>
      </c>
    </row>
    <row r="715" spans="1:3">
      <c r="A715">
        <v>1959429</v>
      </c>
      <c r="B715" t="s">
        <v>18</v>
      </c>
      <c r="C715" s="5">
        <v>0</v>
      </c>
    </row>
    <row r="716" spans="1:3">
      <c r="A716">
        <v>1959430</v>
      </c>
      <c r="B716" t="s">
        <v>19</v>
      </c>
      <c r="C716">
        <v>-0.65191650390625</v>
      </c>
    </row>
    <row r="717" spans="1:3">
      <c r="A717">
        <v>1959676</v>
      </c>
      <c r="B717" t="s">
        <v>16</v>
      </c>
      <c r="C717">
        <v>-5.468336894e-11</v>
      </c>
    </row>
    <row r="718" spans="1:3">
      <c r="A718">
        <v>1959676</v>
      </c>
      <c r="B718" t="s">
        <v>13</v>
      </c>
      <c r="C718" s="5">
        <v>1.62612886924762e-5</v>
      </c>
    </row>
    <row r="719" spans="1:3">
      <c r="A719">
        <v>1959677</v>
      </c>
      <c r="B719" t="s">
        <v>15</v>
      </c>
      <c r="C719" s="5">
        <v>1.62598880706355e-5</v>
      </c>
    </row>
    <row r="720" spans="1:3">
      <c r="A720">
        <v>1959678</v>
      </c>
      <c r="B720" t="s">
        <v>17</v>
      </c>
      <c r="C720">
        <v>-2.63508605957031</v>
      </c>
    </row>
    <row r="721" spans="1:3">
      <c r="A721">
        <v>1959679</v>
      </c>
      <c r="B721" t="s">
        <v>18</v>
      </c>
      <c r="C721" s="5">
        <v>0</v>
      </c>
    </row>
    <row r="722" spans="1:3">
      <c r="A722">
        <v>1959680</v>
      </c>
      <c r="B722" t="s">
        <v>19</v>
      </c>
      <c r="C722">
        <v>-2.63508605957031</v>
      </c>
    </row>
    <row r="723" spans="1:3">
      <c r="A723">
        <v>1959925</v>
      </c>
      <c r="B723" t="s">
        <v>16</v>
      </c>
      <c r="C723" s="5">
        <v>3.655031833e-11</v>
      </c>
    </row>
    <row r="724" spans="1:3">
      <c r="A724">
        <v>1959926</v>
      </c>
      <c r="B724" t="s">
        <v>13</v>
      </c>
      <c r="C724" s="5">
        <v>1.62593914865283e-5</v>
      </c>
    </row>
    <row r="725" spans="1:3">
      <c r="A725">
        <v>1959927</v>
      </c>
      <c r="B725" t="s">
        <v>15</v>
      </c>
      <c r="C725" s="5">
        <v>1.62624583026627e-5</v>
      </c>
    </row>
    <row r="726" spans="1:3">
      <c r="A726">
        <v>1959928</v>
      </c>
      <c r="B726" t="s">
        <v>17</v>
      </c>
      <c r="C726" s="5">
        <v>1.76130676269531</v>
      </c>
    </row>
    <row r="727" spans="1:3">
      <c r="A727">
        <v>1959929</v>
      </c>
      <c r="B727" t="s">
        <v>18</v>
      </c>
      <c r="C727" s="5">
        <v>0</v>
      </c>
    </row>
    <row r="728" spans="1:3">
      <c r="A728">
        <v>1959930</v>
      </c>
      <c r="B728" t="s">
        <v>19</v>
      </c>
      <c r="C728" s="5">
        <v>1.76130676269531</v>
      </c>
    </row>
    <row r="729" spans="1:3">
      <c r="A729">
        <v>1960175</v>
      </c>
      <c r="B729" t="s">
        <v>16</v>
      </c>
      <c r="C729" s="5">
        <v>6.87805368e-12</v>
      </c>
    </row>
    <row r="730" spans="1:3">
      <c r="A730">
        <v>1960176</v>
      </c>
      <c r="B730" t="s">
        <v>13</v>
      </c>
      <c r="C730" s="5">
        <v>1.62605447258101e-5</v>
      </c>
    </row>
    <row r="731" spans="1:3">
      <c r="A731">
        <v>1960177</v>
      </c>
      <c r="B731" t="s">
        <v>15</v>
      </c>
      <c r="C731" s="5">
        <v>1.62620399350998e-5</v>
      </c>
    </row>
    <row r="732" spans="1:3">
      <c r="A732">
        <v>1960178</v>
      </c>
      <c r="B732" t="s">
        <v>17</v>
      </c>
      <c r="C732" s="5">
        <v>0.331298828125</v>
      </c>
    </row>
    <row r="733" spans="1:3">
      <c r="A733">
        <v>1960179</v>
      </c>
      <c r="B733" t="s">
        <v>18</v>
      </c>
      <c r="C733" s="5">
        <v>0</v>
      </c>
    </row>
    <row r="734" spans="1:3">
      <c r="A734">
        <v>1960180</v>
      </c>
      <c r="B734" t="s">
        <v>19</v>
      </c>
      <c r="C734" s="5">
        <v>0.331298828125</v>
      </c>
    </row>
    <row r="735" spans="1:3">
      <c r="A735">
        <v>1960425</v>
      </c>
      <c r="B735" t="s">
        <v>16</v>
      </c>
      <c r="C735">
        <v>-4.37694325e-12</v>
      </c>
    </row>
    <row r="736" spans="1:3">
      <c r="A736">
        <v>1960425</v>
      </c>
      <c r="B736" t="s">
        <v>13</v>
      </c>
      <c r="C736" s="5">
        <v>1.62620399350998e-5</v>
      </c>
    </row>
    <row r="737" spans="1:3">
      <c r="A737">
        <v>1960427</v>
      </c>
      <c r="B737" t="s">
        <v>15</v>
      </c>
      <c r="C737" s="5">
        <v>1.62597207236103e-5</v>
      </c>
    </row>
    <row r="738" spans="1:3">
      <c r="A738">
        <v>1960428</v>
      </c>
      <c r="B738" t="s">
        <v>17</v>
      </c>
      <c r="C738">
        <v>-0.210769653320312</v>
      </c>
    </row>
    <row r="739" spans="1:3">
      <c r="A739">
        <v>1960429</v>
      </c>
      <c r="B739" t="s">
        <v>18</v>
      </c>
      <c r="C739" s="5">
        <v>0</v>
      </c>
    </row>
    <row r="740" spans="1:3">
      <c r="A740">
        <v>1960430</v>
      </c>
      <c r="B740" t="s">
        <v>19</v>
      </c>
      <c r="C740">
        <v>-0.210769653320312</v>
      </c>
    </row>
    <row r="741" spans="1:3">
      <c r="A741">
        <v>1960675</v>
      </c>
      <c r="B741" t="s">
        <v>16</v>
      </c>
      <c r="C741" s="5">
        <v>2.722799763e-11</v>
      </c>
    </row>
    <row r="742" spans="1:3">
      <c r="A742">
        <v>1960676</v>
      </c>
      <c r="B742" t="s">
        <v>13</v>
      </c>
      <c r="C742" s="5">
        <v>1.62620399350998e-5</v>
      </c>
    </row>
    <row r="743" spans="1:3">
      <c r="A743">
        <v>1960677</v>
      </c>
      <c r="B743" t="s">
        <v>15</v>
      </c>
      <c r="C743" s="5">
        <v>1.62605447258101e-5</v>
      </c>
    </row>
    <row r="744" spans="1:3">
      <c r="A744">
        <v>1960678</v>
      </c>
      <c r="B744" t="s">
        <v>17</v>
      </c>
      <c r="C744" s="5">
        <v>1.31199645996093</v>
      </c>
    </row>
    <row r="745" spans="1:3">
      <c r="A745">
        <v>1960679</v>
      </c>
      <c r="B745" t="s">
        <v>18</v>
      </c>
      <c r="C745" s="5">
        <v>0</v>
      </c>
    </row>
    <row r="746" spans="1:3">
      <c r="A746">
        <v>1960680</v>
      </c>
      <c r="B746" t="s">
        <v>19</v>
      </c>
      <c r="C746" s="5">
        <v>1.31199645996093</v>
      </c>
    </row>
    <row r="747" spans="1:3">
      <c r="A747">
        <v>1960925</v>
      </c>
      <c r="B747" t="s">
        <v>16</v>
      </c>
      <c r="C747" s="5">
        <v>2.029310053e-11</v>
      </c>
    </row>
    <row r="748" spans="1:3">
      <c r="A748">
        <v>1960926</v>
      </c>
      <c r="B748" t="s">
        <v>13</v>
      </c>
      <c r="C748" s="5">
        <v>1.62593914865283e-5</v>
      </c>
    </row>
    <row r="749" spans="1:3">
      <c r="A749">
        <v>1960927</v>
      </c>
      <c r="B749" t="s">
        <v>15</v>
      </c>
      <c r="C749" s="5">
        <v>1.62605447258101e-5</v>
      </c>
    </row>
    <row r="750" spans="1:3">
      <c r="A750">
        <v>1960928</v>
      </c>
      <c r="B750" t="s">
        <v>17</v>
      </c>
      <c r="C750" s="5">
        <v>0.97796630859375</v>
      </c>
    </row>
    <row r="751" spans="1:3">
      <c r="A751">
        <v>1960929</v>
      </c>
      <c r="B751" t="s">
        <v>18</v>
      </c>
      <c r="C751" s="5">
        <v>0</v>
      </c>
    </row>
    <row r="752" spans="1:3">
      <c r="A752">
        <v>1960930</v>
      </c>
      <c r="B752" t="s">
        <v>19</v>
      </c>
      <c r="C752" s="5">
        <v>0.97796630859375</v>
      </c>
    </row>
    <row r="753" spans="1:3">
      <c r="A753">
        <v>1961175</v>
      </c>
      <c r="B753" t="s">
        <v>16</v>
      </c>
      <c r="C753" s="5">
        <v>2.1032065e-12</v>
      </c>
    </row>
    <row r="754" spans="1:3">
      <c r="A754">
        <v>1961176</v>
      </c>
      <c r="B754" t="s">
        <v>13</v>
      </c>
      <c r="C754" s="5">
        <v>1.62588039529509e-5</v>
      </c>
    </row>
    <row r="755" spans="1:3">
      <c r="A755">
        <v>1961177</v>
      </c>
      <c r="B755" t="s">
        <v>15</v>
      </c>
      <c r="C755" s="5">
        <v>1.62600717885652e-5</v>
      </c>
    </row>
    <row r="756" spans="1:3">
      <c r="A756">
        <v>1961178</v>
      </c>
      <c r="B756" t="s">
        <v>17</v>
      </c>
      <c r="C756" s="5">
        <v>0.101287841796875</v>
      </c>
    </row>
    <row r="757" spans="1:3">
      <c r="A757">
        <v>1961179</v>
      </c>
      <c r="B757" t="s">
        <v>18</v>
      </c>
      <c r="C757" s="5">
        <v>0</v>
      </c>
    </row>
    <row r="758" spans="1:3">
      <c r="A758">
        <v>1961180</v>
      </c>
      <c r="B758" t="s">
        <v>19</v>
      </c>
      <c r="C758" s="5">
        <v>0.101287841796875</v>
      </c>
    </row>
    <row r="759" spans="1:3">
      <c r="A759">
        <v>1961425</v>
      </c>
      <c r="B759" t="s">
        <v>16</v>
      </c>
      <c r="C759" s="5">
        <v>4.087041816e-11</v>
      </c>
    </row>
    <row r="760" spans="1:3">
      <c r="A760">
        <v>1961426</v>
      </c>
      <c r="B760" t="s">
        <v>13</v>
      </c>
      <c r="C760" s="5">
        <v>1.62608994287438e-5</v>
      </c>
    </row>
    <row r="761" spans="1:3">
      <c r="A761">
        <v>1961427</v>
      </c>
      <c r="B761" t="s">
        <v>15</v>
      </c>
      <c r="C761" s="5">
        <v>1.62635806191247e-5</v>
      </c>
    </row>
    <row r="762" spans="1:3">
      <c r="A762">
        <v>1961428</v>
      </c>
      <c r="B762" t="s">
        <v>17</v>
      </c>
      <c r="C762" s="5">
        <v>1.96914672851562</v>
      </c>
    </row>
    <row r="763" spans="1:3">
      <c r="A763">
        <v>1961429</v>
      </c>
      <c r="B763" t="s">
        <v>18</v>
      </c>
      <c r="C763" s="5">
        <v>0</v>
      </c>
    </row>
    <row r="764" spans="1:3">
      <c r="A764">
        <v>1961430</v>
      </c>
      <c r="B764" t="s">
        <v>19</v>
      </c>
      <c r="C764" s="5">
        <v>1.96914672851562</v>
      </c>
    </row>
    <row r="765" spans="1:3">
      <c r="A765">
        <v>1961675</v>
      </c>
      <c r="B765" t="s">
        <v>16</v>
      </c>
      <c r="C765">
        <v>-2.097522156e-11</v>
      </c>
    </row>
    <row r="766" spans="1:3">
      <c r="A766">
        <v>1961676</v>
      </c>
      <c r="B766" t="s">
        <v>13</v>
      </c>
      <c r="C766" s="5">
        <v>1.62600717885652e-5</v>
      </c>
    </row>
    <row r="767" spans="1:3">
      <c r="A767">
        <v>1961677</v>
      </c>
      <c r="B767" t="s">
        <v>15</v>
      </c>
      <c r="C767" s="5">
        <v>1.62565047503449e-5</v>
      </c>
    </row>
    <row r="768" spans="1:3">
      <c r="A768">
        <v>1961678</v>
      </c>
      <c r="B768" t="s">
        <v>17</v>
      </c>
      <c r="C768">
        <v>-1.01103210449218</v>
      </c>
    </row>
    <row r="769" spans="1:3">
      <c r="A769">
        <v>1961679</v>
      </c>
      <c r="B769" t="s">
        <v>18</v>
      </c>
      <c r="C769" s="5">
        <v>0</v>
      </c>
    </row>
    <row r="770" spans="1:3">
      <c r="A770">
        <v>1961679</v>
      </c>
      <c r="B770" t="s">
        <v>19</v>
      </c>
      <c r="C770">
        <v>-1.01103210449218</v>
      </c>
    </row>
    <row r="771" spans="1:3">
      <c r="A771">
        <v>1961925</v>
      </c>
      <c r="B771" t="s">
        <v>16</v>
      </c>
      <c r="C771">
        <v>-8.46966941e-12</v>
      </c>
    </row>
    <row r="772" spans="1:3">
      <c r="A772">
        <v>1961926</v>
      </c>
      <c r="B772" t="s">
        <v>13</v>
      </c>
      <c r="C772" s="5">
        <v>1.62590858963085e-5</v>
      </c>
    </row>
    <row r="773" spans="1:3">
      <c r="A773">
        <v>1961927</v>
      </c>
      <c r="B773" t="s">
        <v>15</v>
      </c>
      <c r="C773" s="5">
        <v>1.62612886924762e-5</v>
      </c>
    </row>
    <row r="774" spans="1:3">
      <c r="A774">
        <v>1961928</v>
      </c>
      <c r="B774" t="s">
        <v>17</v>
      </c>
      <c r="C774">
        <v>-0.408111572265625</v>
      </c>
    </row>
    <row r="775" spans="1:3">
      <c r="A775">
        <v>1961929</v>
      </c>
      <c r="B775" t="s">
        <v>18</v>
      </c>
      <c r="C775" s="5">
        <v>0</v>
      </c>
    </row>
    <row r="776" spans="1:3">
      <c r="A776">
        <v>1961930</v>
      </c>
      <c r="B776" t="s">
        <v>19</v>
      </c>
      <c r="C776">
        <v>-0.408111572265625</v>
      </c>
    </row>
    <row r="777" spans="1:3">
      <c r="A777">
        <v>1962175</v>
      </c>
      <c r="B777" t="s">
        <v>16</v>
      </c>
      <c r="C777" s="5">
        <v>7.56017471e-12</v>
      </c>
    </row>
    <row r="778" spans="1:3">
      <c r="A778">
        <v>1962176</v>
      </c>
      <c r="B778" t="s">
        <v>13</v>
      </c>
      <c r="C778" s="5">
        <v>1.62624583026627e-5</v>
      </c>
    </row>
    <row r="779" spans="1:3">
      <c r="A779">
        <v>1962177</v>
      </c>
      <c r="B779" t="s">
        <v>15</v>
      </c>
      <c r="C779" s="5">
        <v>1.62612886924762e-5</v>
      </c>
    </row>
    <row r="780" spans="1:3">
      <c r="A780">
        <v>1962178</v>
      </c>
      <c r="B780" t="s">
        <v>17</v>
      </c>
      <c r="C780" s="5">
        <v>0.364151000976562</v>
      </c>
    </row>
    <row r="781" spans="1:3">
      <c r="A781">
        <v>1962179</v>
      </c>
      <c r="B781" t="s">
        <v>18</v>
      </c>
      <c r="C781" s="5">
        <v>0</v>
      </c>
    </row>
    <row r="782" spans="1:3">
      <c r="A782">
        <v>1962180</v>
      </c>
      <c r="B782" t="s">
        <v>19</v>
      </c>
      <c r="C782" s="5">
        <v>0.364151000976562</v>
      </c>
    </row>
    <row r="783" spans="1:3">
      <c r="A783">
        <v>1962425</v>
      </c>
      <c r="B783" t="s">
        <v>16</v>
      </c>
      <c r="C783" s="5">
        <v>3.115019354e-11</v>
      </c>
    </row>
    <row r="784" spans="1:3">
      <c r="A784">
        <v>1962426</v>
      </c>
      <c r="B784" t="s">
        <v>13</v>
      </c>
      <c r="C784" s="5">
        <v>1.62612886924762e-5</v>
      </c>
    </row>
    <row r="785" spans="1:3">
      <c r="A785">
        <v>1962427</v>
      </c>
      <c r="B785" t="s">
        <v>15</v>
      </c>
      <c r="C785" s="5">
        <v>1.62635806191247e-5</v>
      </c>
    </row>
    <row r="786" spans="1:3">
      <c r="A786">
        <v>1962428</v>
      </c>
      <c r="B786" t="s">
        <v>17</v>
      </c>
      <c r="C786" s="5">
        <v>1.50077819824218</v>
      </c>
    </row>
    <row r="787" spans="1:3">
      <c r="A787">
        <v>1962429</v>
      </c>
      <c r="B787" t="s">
        <v>18</v>
      </c>
      <c r="C787" s="5">
        <v>0</v>
      </c>
    </row>
    <row r="788" spans="1:3">
      <c r="A788">
        <v>1962430</v>
      </c>
      <c r="B788" t="s">
        <v>19</v>
      </c>
      <c r="C788" s="5">
        <v>1.50077819824218</v>
      </c>
    </row>
    <row r="789" spans="1:3">
      <c r="A789">
        <v>1962675</v>
      </c>
      <c r="B789" t="s">
        <v>16</v>
      </c>
      <c r="C789" s="5">
        <v>4.740741133e-11</v>
      </c>
    </row>
    <row r="790" spans="1:3">
      <c r="A790">
        <v>1962676</v>
      </c>
      <c r="B790" t="s">
        <v>13</v>
      </c>
      <c r="C790" s="5">
        <v>1.62597207236103e-5</v>
      </c>
    </row>
    <row r="791" spans="1:3">
      <c r="A791">
        <v>1962676</v>
      </c>
      <c r="B791" t="s">
        <v>15</v>
      </c>
      <c r="C791" s="5">
        <v>1.62638898473233e-5</v>
      </c>
    </row>
    <row r="792" spans="1:3">
      <c r="A792">
        <v>1962677</v>
      </c>
      <c r="B792" t="s">
        <v>17</v>
      </c>
      <c r="C792" s="5">
        <v>2.28413391113281</v>
      </c>
    </row>
    <row r="793" spans="1:3">
      <c r="A793">
        <v>1962679</v>
      </c>
      <c r="B793" t="s">
        <v>18</v>
      </c>
      <c r="C793" s="5">
        <v>0</v>
      </c>
    </row>
    <row r="794" spans="1:3">
      <c r="A794">
        <v>1962680</v>
      </c>
      <c r="B794" t="s">
        <v>19</v>
      </c>
      <c r="C794" s="5">
        <v>2.28413391113281</v>
      </c>
    </row>
    <row r="795" spans="1:3">
      <c r="A795">
        <v>1962925</v>
      </c>
      <c r="B795" t="s">
        <v>16</v>
      </c>
      <c r="C795">
        <v>-3.52429197e-12</v>
      </c>
    </row>
    <row r="796" spans="1:3">
      <c r="A796">
        <v>1962926</v>
      </c>
      <c r="B796" t="s">
        <v>13</v>
      </c>
      <c r="C796" s="5">
        <v>1.62602045747917e-5</v>
      </c>
    </row>
    <row r="797" spans="1:3">
      <c r="A797">
        <v>1962927</v>
      </c>
      <c r="B797" t="s">
        <v>15</v>
      </c>
      <c r="C797" s="5">
        <v>1.62631422426784e-5</v>
      </c>
    </row>
    <row r="798" spans="1:3">
      <c r="A798">
        <v>1962928</v>
      </c>
      <c r="B798" t="s">
        <v>17</v>
      </c>
      <c r="C798">
        <v>-0.16973876953125</v>
      </c>
    </row>
    <row r="799" spans="1:3">
      <c r="A799">
        <v>1962929</v>
      </c>
      <c r="B799" t="s">
        <v>18</v>
      </c>
      <c r="C799" s="5">
        <v>0</v>
      </c>
    </row>
    <row r="800" spans="1:3">
      <c r="A800">
        <v>1962930</v>
      </c>
      <c r="B800" t="s">
        <v>19</v>
      </c>
      <c r="C800">
        <v>-0.16973876953125</v>
      </c>
    </row>
    <row r="801" spans="1:3">
      <c r="A801">
        <v>1963175</v>
      </c>
      <c r="B801" t="s">
        <v>16</v>
      </c>
      <c r="C801" s="5">
        <v>4.376943252e-11</v>
      </c>
    </row>
    <row r="802" spans="1:3">
      <c r="A802">
        <v>1963176</v>
      </c>
      <c r="B802" t="s">
        <v>13</v>
      </c>
      <c r="C802" s="5">
        <v>1.62624583026627e-5</v>
      </c>
    </row>
    <row r="803" spans="1:3">
      <c r="A803">
        <v>1963177</v>
      </c>
      <c r="B803" t="s">
        <v>15</v>
      </c>
      <c r="C803" s="5">
        <v>1.62605447258101e-5</v>
      </c>
    </row>
    <row r="804" spans="1:3">
      <c r="A804">
        <v>1963178</v>
      </c>
      <c r="B804" t="s">
        <v>17</v>
      </c>
      <c r="C804" s="5">
        <v>2.10894775390625</v>
      </c>
    </row>
    <row r="805" spans="1:3">
      <c r="A805">
        <v>1963179</v>
      </c>
      <c r="B805" t="s">
        <v>18</v>
      </c>
      <c r="C805" s="5">
        <v>0</v>
      </c>
    </row>
    <row r="806" spans="1:3">
      <c r="A806">
        <v>1963180</v>
      </c>
      <c r="B806" t="s">
        <v>19</v>
      </c>
      <c r="C806" s="5">
        <v>2.10894775390625</v>
      </c>
    </row>
    <row r="807" spans="1:3">
      <c r="A807">
        <v>1963425</v>
      </c>
      <c r="B807" t="s">
        <v>16</v>
      </c>
      <c r="C807">
        <v>-3.802824722e-11</v>
      </c>
    </row>
    <row r="808" spans="1:3">
      <c r="A808">
        <v>1963426</v>
      </c>
      <c r="B808" t="s">
        <v>13</v>
      </c>
      <c r="C808" s="5">
        <v>1.62608994287438e-5</v>
      </c>
    </row>
    <row r="809" spans="1:3">
      <c r="A809">
        <v>1963427</v>
      </c>
      <c r="B809" t="s">
        <v>15</v>
      </c>
      <c r="C809" s="5">
        <v>1.62593914865283e-5</v>
      </c>
    </row>
    <row r="810" spans="1:3">
      <c r="A810">
        <v>1963428</v>
      </c>
      <c r="B810" t="s">
        <v>17</v>
      </c>
      <c r="C810">
        <v>-1.83268737792968</v>
      </c>
    </row>
    <row r="811" spans="1:3">
      <c r="A811">
        <v>1963429</v>
      </c>
      <c r="B811" t="s">
        <v>18</v>
      </c>
      <c r="C811" s="5">
        <v>0</v>
      </c>
    </row>
    <row r="812" spans="1:3">
      <c r="A812">
        <v>1963430</v>
      </c>
      <c r="B812" t="s">
        <v>19</v>
      </c>
      <c r="C812">
        <v>-1.83268737792968</v>
      </c>
    </row>
    <row r="813" spans="1:3">
      <c r="A813">
        <v>1963675</v>
      </c>
      <c r="B813" t="s">
        <v>16</v>
      </c>
      <c r="C813" s="5">
        <v>5.496758604e-11</v>
      </c>
    </row>
    <row r="814" spans="1:3">
      <c r="A814">
        <v>1963676</v>
      </c>
      <c r="B814" t="s">
        <v>13</v>
      </c>
      <c r="C814" s="5">
        <v>1.62600717885652e-5</v>
      </c>
    </row>
    <row r="815" spans="1:3">
      <c r="A815">
        <v>1963677</v>
      </c>
      <c r="B815" t="s">
        <v>15</v>
      </c>
      <c r="C815" s="5">
        <v>1.62631422426784e-5</v>
      </c>
    </row>
    <row r="816" spans="1:3">
      <c r="A816">
        <v>1963678</v>
      </c>
      <c r="B816" t="s">
        <v>17</v>
      </c>
      <c r="C816" s="5">
        <v>2.64848327636718</v>
      </c>
    </row>
    <row r="817" spans="1:3">
      <c r="A817">
        <v>1963679</v>
      </c>
      <c r="B817" t="s">
        <v>18</v>
      </c>
      <c r="C817" s="5">
        <v>0</v>
      </c>
    </row>
    <row r="818" spans="1:3">
      <c r="A818">
        <v>1963679</v>
      </c>
      <c r="B818" t="s">
        <v>19</v>
      </c>
      <c r="C818" s="5">
        <v>2.64848327636718</v>
      </c>
    </row>
    <row r="819" spans="1:3">
      <c r="A819">
        <v>1963925</v>
      </c>
      <c r="B819" t="s">
        <v>16</v>
      </c>
      <c r="C819" s="5">
        <v>1.966782293e-11</v>
      </c>
    </row>
    <row r="820" spans="1:3">
      <c r="A820">
        <v>1963926</v>
      </c>
      <c r="B820" t="s">
        <v>13</v>
      </c>
      <c r="C820" s="5">
        <v>1.62593914865283e-5</v>
      </c>
    </row>
    <row r="821" spans="1:3">
      <c r="A821">
        <v>1963927</v>
      </c>
      <c r="B821" t="s">
        <v>15</v>
      </c>
      <c r="C821" s="5">
        <v>1.62590858963085e-5</v>
      </c>
    </row>
    <row r="822" spans="1:3">
      <c r="A822">
        <v>1963928</v>
      </c>
      <c r="B822" t="s">
        <v>17</v>
      </c>
      <c r="C822" s="5">
        <v>0.947830200195312</v>
      </c>
    </row>
    <row r="823" spans="1:3">
      <c r="A823">
        <v>1963929</v>
      </c>
      <c r="B823" t="s">
        <v>18</v>
      </c>
      <c r="C823" s="5">
        <v>0</v>
      </c>
    </row>
    <row r="824" spans="1:3">
      <c r="A824">
        <v>1963930</v>
      </c>
      <c r="B824" t="s">
        <v>19</v>
      </c>
      <c r="C824" s="5">
        <v>0.947830200195312</v>
      </c>
    </row>
    <row r="825" spans="1:3">
      <c r="A825">
        <v>1964175</v>
      </c>
      <c r="B825" t="s">
        <v>16</v>
      </c>
      <c r="C825" s="5">
        <v>3.70619091e-11</v>
      </c>
    </row>
    <row r="826" spans="1:3">
      <c r="A826">
        <v>1964176</v>
      </c>
      <c r="B826" t="s">
        <v>13</v>
      </c>
      <c r="C826" s="5">
        <v>1.62621381605276e-5</v>
      </c>
    </row>
    <row r="827" spans="1:3">
      <c r="A827">
        <v>1964177</v>
      </c>
      <c r="B827" t="s">
        <v>15</v>
      </c>
      <c r="C827" s="5">
        <v>1.62605447258101e-5</v>
      </c>
    </row>
    <row r="828" spans="1:3">
      <c r="A828">
        <v>1964178</v>
      </c>
      <c r="B828" t="s">
        <v>17</v>
      </c>
      <c r="C828" s="5">
        <v>1.78581237792968</v>
      </c>
    </row>
    <row r="829" spans="1:3">
      <c r="A829">
        <v>1964179</v>
      </c>
      <c r="B829" t="s">
        <v>18</v>
      </c>
      <c r="C829" s="5">
        <v>0</v>
      </c>
    </row>
    <row r="830" spans="1:3">
      <c r="A830">
        <v>1964180</v>
      </c>
      <c r="B830" t="s">
        <v>19</v>
      </c>
      <c r="C830" s="5">
        <v>1.78581237792968</v>
      </c>
    </row>
    <row r="831" spans="1:3">
      <c r="A831">
        <v>1964425</v>
      </c>
      <c r="B831" t="s">
        <v>16</v>
      </c>
      <c r="C831">
        <v>-2.000888344e-11</v>
      </c>
    </row>
    <row r="832" spans="1:3">
      <c r="A832">
        <v>1964426</v>
      </c>
      <c r="B832" t="s">
        <v>13</v>
      </c>
      <c r="C832" s="5">
        <v>1.62593914865283e-5</v>
      </c>
    </row>
    <row r="833" spans="1:3">
      <c r="A833">
        <v>1964427</v>
      </c>
      <c r="B833" t="s">
        <v>15</v>
      </c>
      <c r="C833" s="5">
        <v>1.62620399350998e-5</v>
      </c>
    </row>
    <row r="834" spans="1:3">
      <c r="A834">
        <v>1964428</v>
      </c>
      <c r="B834" t="s">
        <v>17</v>
      </c>
      <c r="C834">
        <v>-0.96417236328125</v>
      </c>
    </row>
    <row r="835" spans="1:3">
      <c r="A835">
        <v>1964429</v>
      </c>
      <c r="B835" t="s">
        <v>18</v>
      </c>
      <c r="C835" s="5">
        <v>0</v>
      </c>
    </row>
    <row r="836" spans="1:3">
      <c r="A836">
        <v>1964430</v>
      </c>
      <c r="B836" t="s">
        <v>19</v>
      </c>
      <c r="C836">
        <v>-0.96417236328125</v>
      </c>
    </row>
    <row r="837" spans="1:3">
      <c r="A837">
        <v>1964674</v>
      </c>
      <c r="B837" t="s">
        <v>16</v>
      </c>
      <c r="C837" s="5">
        <v>1.449507181e-11</v>
      </c>
    </row>
    <row r="838" spans="1:3">
      <c r="A838">
        <v>1964676</v>
      </c>
      <c r="B838" t="s">
        <v>13</v>
      </c>
      <c r="C838" s="5">
        <v>1.62590858963085e-5</v>
      </c>
    </row>
    <row r="839" spans="1:3">
      <c r="A839">
        <v>1964677</v>
      </c>
      <c r="B839" t="s">
        <v>15</v>
      </c>
      <c r="C839" s="5">
        <v>1.62633787113009e-5</v>
      </c>
    </row>
    <row r="840" spans="1:3">
      <c r="A840">
        <v>1964678</v>
      </c>
      <c r="B840" t="s">
        <v>17</v>
      </c>
      <c r="C840" s="5">
        <v>0.698379516601562</v>
      </c>
    </row>
    <row r="841" spans="1:3">
      <c r="A841">
        <v>1964679</v>
      </c>
      <c r="B841" t="s">
        <v>18</v>
      </c>
      <c r="C841" s="5">
        <v>0</v>
      </c>
    </row>
    <row r="842" spans="1:3">
      <c r="A842">
        <v>1964680</v>
      </c>
      <c r="B842" t="s">
        <v>19</v>
      </c>
      <c r="C842" s="5">
        <v>0.698379516601562</v>
      </c>
    </row>
    <row r="843" spans="1:3">
      <c r="A843">
        <v>1964925</v>
      </c>
      <c r="B843" t="s">
        <v>16</v>
      </c>
      <c r="C843">
        <v>-6.08224582e-12</v>
      </c>
    </row>
    <row r="844" spans="1:3">
      <c r="A844">
        <v>1964926</v>
      </c>
      <c r="B844" t="s">
        <v>13</v>
      </c>
      <c r="C844" s="5">
        <v>1.62604410434141e-5</v>
      </c>
    </row>
    <row r="845" spans="1:3">
      <c r="A845">
        <v>1964927</v>
      </c>
      <c r="B845" t="s">
        <v>15</v>
      </c>
      <c r="C845" s="5">
        <v>1.62616997840814e-5</v>
      </c>
    </row>
    <row r="846" spans="1:3">
      <c r="A846">
        <v>1964928</v>
      </c>
      <c r="B846" t="s">
        <v>17</v>
      </c>
      <c r="C846">
        <v>-0.293014526367187</v>
      </c>
    </row>
    <row r="847" spans="1:3">
      <c r="A847">
        <v>1964929</v>
      </c>
      <c r="B847" t="s">
        <v>18</v>
      </c>
      <c r="C847" s="5">
        <v>0</v>
      </c>
    </row>
    <row r="848" spans="1:3">
      <c r="A848">
        <v>1964930</v>
      </c>
      <c r="B848" t="s">
        <v>19</v>
      </c>
      <c r="C848">
        <v>-0.293014526367187</v>
      </c>
    </row>
    <row r="849" spans="1:3">
      <c r="A849">
        <v>1965175</v>
      </c>
      <c r="B849" t="s">
        <v>16</v>
      </c>
      <c r="C849" s="5">
        <v>2.995648174e-11</v>
      </c>
    </row>
    <row r="850" spans="1:3">
      <c r="A850">
        <v>1965176</v>
      </c>
      <c r="B850" t="s">
        <v>13</v>
      </c>
      <c r="C850" s="5">
        <v>1.62584874487947e-5</v>
      </c>
    </row>
    <row r="851" spans="1:3">
      <c r="A851">
        <v>1965177</v>
      </c>
      <c r="B851" t="s">
        <v>15</v>
      </c>
      <c r="C851" s="5">
        <v>1.62602045747917e-5</v>
      </c>
    </row>
    <row r="852" spans="1:3">
      <c r="A852">
        <v>1965178</v>
      </c>
      <c r="B852" t="s">
        <v>17</v>
      </c>
      <c r="C852" s="5">
        <v>1.44381713867187</v>
      </c>
    </row>
    <row r="853" spans="1:3">
      <c r="A853">
        <v>1965179</v>
      </c>
      <c r="B853" t="s">
        <v>18</v>
      </c>
      <c r="C853" s="5">
        <v>0</v>
      </c>
    </row>
    <row r="854" spans="1:3">
      <c r="A854">
        <v>1965180</v>
      </c>
      <c r="B854" t="s">
        <v>19</v>
      </c>
      <c r="C854" s="5">
        <v>1.44381713867187</v>
      </c>
    </row>
    <row r="855" spans="1:3">
      <c r="A855">
        <v>1965425</v>
      </c>
      <c r="B855" t="s">
        <v>16</v>
      </c>
      <c r="C855">
        <v>-7.44648787e-12</v>
      </c>
    </row>
    <row r="856" spans="1:3">
      <c r="A856">
        <v>1965426</v>
      </c>
      <c r="B856" t="s">
        <v>13</v>
      </c>
      <c r="C856" s="5">
        <v>1.62624583026627e-5</v>
      </c>
    </row>
    <row r="857" spans="1:3">
      <c r="A857">
        <v>1965426</v>
      </c>
      <c r="B857" t="s">
        <v>15</v>
      </c>
      <c r="C857" s="5">
        <v>1.62597207236103e-5</v>
      </c>
    </row>
    <row r="858" spans="1:3">
      <c r="A858">
        <v>1965428</v>
      </c>
      <c r="B858" t="s">
        <v>17</v>
      </c>
      <c r="C858">
        <v>-0.358718872070312</v>
      </c>
    </row>
    <row r="859" spans="1:3">
      <c r="A859">
        <v>1965429</v>
      </c>
      <c r="B859" t="s">
        <v>18</v>
      </c>
      <c r="C859" s="5">
        <v>0</v>
      </c>
    </row>
    <row r="860" spans="1:3">
      <c r="A860">
        <v>1965430</v>
      </c>
      <c r="B860" t="s">
        <v>19</v>
      </c>
      <c r="C860">
        <v>-0.358718872070312</v>
      </c>
    </row>
    <row r="861" spans="1:3">
      <c r="A861">
        <v>1965675</v>
      </c>
      <c r="B861" t="s">
        <v>16</v>
      </c>
      <c r="C861" s="5">
        <v>2.80238055e-11</v>
      </c>
    </row>
    <row r="862" spans="1:3">
      <c r="A862">
        <v>1965676</v>
      </c>
      <c r="B862" t="s">
        <v>13</v>
      </c>
      <c r="C862" s="5">
        <v>1.62629057740559e-5</v>
      </c>
    </row>
    <row r="863" spans="1:3">
      <c r="A863">
        <v>1965677</v>
      </c>
      <c r="B863" t="s">
        <v>15</v>
      </c>
      <c r="C863" s="5">
        <v>1.62576761795207e-5</v>
      </c>
    </row>
    <row r="864" spans="1:3">
      <c r="A864">
        <v>1965678</v>
      </c>
      <c r="B864" t="s">
        <v>17</v>
      </c>
      <c r="C864" s="5">
        <v>1.35047912597656</v>
      </c>
    </row>
    <row r="865" spans="1:3">
      <c r="A865">
        <v>1965679</v>
      </c>
      <c r="B865" t="s">
        <v>18</v>
      </c>
      <c r="C865" s="5">
        <v>0</v>
      </c>
    </row>
    <row r="866" spans="1:3">
      <c r="A866">
        <v>1965680</v>
      </c>
      <c r="B866" t="s">
        <v>19</v>
      </c>
      <c r="C866" s="5">
        <v>1.35047912597656</v>
      </c>
    </row>
    <row r="867" spans="1:3">
      <c r="A867">
        <v>1965924</v>
      </c>
      <c r="B867" t="s">
        <v>16</v>
      </c>
      <c r="C867" s="5">
        <v>1.097077984e-11</v>
      </c>
    </row>
    <row r="868" spans="1:3">
      <c r="A868">
        <v>1965926</v>
      </c>
      <c r="B868" t="s">
        <v>13</v>
      </c>
      <c r="C868" s="5">
        <v>1.62605447258101e-5</v>
      </c>
    </row>
    <row r="869" spans="1:3">
      <c r="A869">
        <v>1965927</v>
      </c>
      <c r="B869" t="s">
        <v>15</v>
      </c>
      <c r="C869" s="5">
        <v>1.62593914865283e-5</v>
      </c>
    </row>
    <row r="870" spans="1:3">
      <c r="A870">
        <v>1965928</v>
      </c>
      <c r="B870" t="s">
        <v>17</v>
      </c>
      <c r="C870" s="5">
        <v>0.528640747070312</v>
      </c>
    </row>
    <row r="871" spans="1:3">
      <c r="A871">
        <v>1965929</v>
      </c>
      <c r="B871" t="s">
        <v>18</v>
      </c>
      <c r="C871" s="5">
        <v>0</v>
      </c>
    </row>
    <row r="872" spans="1:3">
      <c r="A872">
        <v>1965929</v>
      </c>
      <c r="B872" t="s">
        <v>19</v>
      </c>
      <c r="C872" s="5">
        <v>0.528640747070312</v>
      </c>
    </row>
    <row r="873" spans="1:3">
      <c r="A873">
        <v>1966175</v>
      </c>
      <c r="B873" t="s">
        <v>16</v>
      </c>
      <c r="C873">
        <v>-1.421085472e-11</v>
      </c>
    </row>
    <row r="874" spans="1:3">
      <c r="A874">
        <v>1966176</v>
      </c>
      <c r="B874" t="s">
        <v>13</v>
      </c>
      <c r="C874" s="5">
        <v>1.62588039529509e-5</v>
      </c>
    </row>
    <row r="875" spans="1:3">
      <c r="A875">
        <v>1966177</v>
      </c>
      <c r="B875" t="s">
        <v>15</v>
      </c>
      <c r="C875" s="5">
        <v>1.62633787113009e-5</v>
      </c>
    </row>
    <row r="876" spans="1:3">
      <c r="A876">
        <v>1966178</v>
      </c>
      <c r="B876" t="s">
        <v>17</v>
      </c>
      <c r="C876">
        <v>-0.684783935546875</v>
      </c>
    </row>
    <row r="877" spans="1:3">
      <c r="A877">
        <v>1966179</v>
      </c>
      <c r="B877" t="s">
        <v>18</v>
      </c>
      <c r="C877" s="5">
        <v>0</v>
      </c>
    </row>
    <row r="878" spans="1:3">
      <c r="A878">
        <v>1966180</v>
      </c>
      <c r="B878" t="s">
        <v>19</v>
      </c>
      <c r="C878">
        <v>-0.684783935546875</v>
      </c>
    </row>
    <row r="879" spans="1:3">
      <c r="A879">
        <v>1966425</v>
      </c>
      <c r="B879" t="s">
        <v>16</v>
      </c>
      <c r="C879" s="5">
        <v>5.132960723e-11</v>
      </c>
    </row>
    <row r="880" spans="1:3">
      <c r="A880">
        <v>1966426</v>
      </c>
      <c r="B880" t="s">
        <v>13</v>
      </c>
      <c r="C880" s="5">
        <v>1.62588039529509e-5</v>
      </c>
    </row>
    <row r="881" spans="1:3">
      <c r="A881">
        <v>1966427</v>
      </c>
      <c r="B881" t="s">
        <v>15</v>
      </c>
      <c r="C881" s="5">
        <v>1.62651067512342e-5</v>
      </c>
    </row>
    <row r="882" spans="1:3">
      <c r="A882">
        <v>1966428</v>
      </c>
      <c r="B882" t="s">
        <v>17</v>
      </c>
      <c r="C882" s="5">
        <v>2.47311401367187</v>
      </c>
    </row>
    <row r="883" spans="1:3">
      <c r="A883">
        <v>1966429</v>
      </c>
      <c r="B883" t="s">
        <v>18</v>
      </c>
      <c r="C883" s="5">
        <v>0</v>
      </c>
    </row>
    <row r="884" spans="1:3">
      <c r="A884">
        <v>1966430</v>
      </c>
      <c r="B884" t="s">
        <v>19</v>
      </c>
      <c r="C884" s="5">
        <v>2.47311401367187</v>
      </c>
    </row>
    <row r="885" spans="1:3">
      <c r="A885">
        <v>1966675</v>
      </c>
      <c r="B885" t="s">
        <v>16</v>
      </c>
      <c r="C885">
        <v>-5.1159077e-13</v>
      </c>
    </row>
    <row r="886" spans="1:3">
      <c r="A886">
        <v>1966676</v>
      </c>
      <c r="B886" t="s">
        <v>13</v>
      </c>
      <c r="C886" s="5">
        <v>1.62590858963085e-5</v>
      </c>
    </row>
    <row r="887" spans="1:3">
      <c r="A887">
        <v>1966677</v>
      </c>
      <c r="B887" t="s">
        <v>15</v>
      </c>
      <c r="C887" s="5">
        <v>1.62600717885652e-5</v>
      </c>
    </row>
    <row r="888" spans="1:3">
      <c r="A888">
        <v>1966678</v>
      </c>
      <c r="B888" t="s">
        <v>17</v>
      </c>
      <c r="C888">
        <v>-0.024505615234375</v>
      </c>
    </row>
    <row r="889" spans="1:3">
      <c r="A889">
        <v>1966679</v>
      </c>
      <c r="B889" t="s">
        <v>18</v>
      </c>
      <c r="C889" s="5">
        <v>0</v>
      </c>
    </row>
    <row r="890" spans="1:3">
      <c r="A890">
        <v>1966680</v>
      </c>
      <c r="B890" t="s">
        <v>19</v>
      </c>
      <c r="C890">
        <v>-0.024505615234375</v>
      </c>
    </row>
    <row r="891" spans="1:3">
      <c r="A891">
        <v>1966925</v>
      </c>
      <c r="B891" t="s">
        <v>16</v>
      </c>
      <c r="C891">
        <v>-3.456079867e-11</v>
      </c>
    </row>
    <row r="892" spans="1:3">
      <c r="A892">
        <v>1966926</v>
      </c>
      <c r="B892" t="s">
        <v>13</v>
      </c>
      <c r="C892" s="5">
        <v>1.62640535563696e-5</v>
      </c>
    </row>
    <row r="893" spans="1:3">
      <c r="A893">
        <v>1966927</v>
      </c>
      <c r="B893" t="s">
        <v>15</v>
      </c>
      <c r="C893" s="5">
        <v>1.62633787113009e-5</v>
      </c>
    </row>
    <row r="894" spans="1:3">
      <c r="A894">
        <v>1966928</v>
      </c>
      <c r="B894" t="s">
        <v>17</v>
      </c>
      <c r="C894">
        <v>-1.66470336914062</v>
      </c>
    </row>
    <row r="895" spans="1:3">
      <c r="A895">
        <v>1966929</v>
      </c>
      <c r="B895" t="s">
        <v>18</v>
      </c>
      <c r="C895" s="5">
        <v>0</v>
      </c>
    </row>
    <row r="896" spans="1:3">
      <c r="A896">
        <v>1966930</v>
      </c>
      <c r="B896" t="s">
        <v>19</v>
      </c>
      <c r="C896">
        <v>-1.66470336914062</v>
      </c>
    </row>
    <row r="897" spans="1:3">
      <c r="A897">
        <v>1967175</v>
      </c>
      <c r="B897" t="s">
        <v>16</v>
      </c>
      <c r="C897" s="5">
        <v>4.905587048e-11</v>
      </c>
    </row>
    <row r="898" spans="1:3">
      <c r="A898">
        <v>1967176</v>
      </c>
      <c r="B898" t="s">
        <v>13</v>
      </c>
      <c r="C898" s="5">
        <v>1.62600717885652e-5</v>
      </c>
    </row>
    <row r="899" spans="1:3">
      <c r="A899">
        <v>1967177</v>
      </c>
      <c r="B899" t="s">
        <v>15</v>
      </c>
      <c r="C899" s="5">
        <v>1.62590858963085e-5</v>
      </c>
    </row>
    <row r="900" spans="1:3">
      <c r="A900">
        <v>1967178</v>
      </c>
      <c r="B900" t="s">
        <v>17</v>
      </c>
      <c r="C900" s="5">
        <v>2.36422729492187</v>
      </c>
    </row>
    <row r="901" spans="1:3">
      <c r="A901">
        <v>1967179</v>
      </c>
      <c r="B901" t="s">
        <v>18</v>
      </c>
      <c r="C901" s="5">
        <v>0</v>
      </c>
    </row>
    <row r="902" spans="1:3">
      <c r="A902">
        <v>1967180</v>
      </c>
      <c r="B902" t="s">
        <v>19</v>
      </c>
      <c r="C902" s="5">
        <v>2.36422729492187</v>
      </c>
    </row>
    <row r="903" spans="1:3">
      <c r="A903">
        <v>1967425</v>
      </c>
      <c r="B903" t="s">
        <v>16</v>
      </c>
      <c r="C903" s="5">
        <v>6.104983186e-11</v>
      </c>
    </row>
    <row r="904" spans="1:3">
      <c r="A904">
        <v>1967426</v>
      </c>
      <c r="B904" t="s">
        <v>13</v>
      </c>
      <c r="C904" s="5">
        <v>1.62640535563696e-5</v>
      </c>
    </row>
    <row r="905" spans="1:3">
      <c r="A905">
        <v>1967427</v>
      </c>
      <c r="B905" t="s">
        <v>15</v>
      </c>
      <c r="C905" s="5">
        <v>1.62567212100839e-5</v>
      </c>
    </row>
    <row r="906" spans="1:3">
      <c r="A906">
        <v>1967428</v>
      </c>
      <c r="B906" t="s">
        <v>17</v>
      </c>
      <c r="C906" s="5">
        <v>2.94206237792968</v>
      </c>
    </row>
    <row r="907" spans="1:3">
      <c r="A907">
        <v>1967429</v>
      </c>
      <c r="B907" t="s">
        <v>18</v>
      </c>
      <c r="C907" s="5">
        <v>0</v>
      </c>
    </row>
    <row r="908" spans="1:3">
      <c r="A908">
        <v>1967430</v>
      </c>
      <c r="B908" t="s">
        <v>19</v>
      </c>
      <c r="C908" s="5">
        <v>2.94206237792968</v>
      </c>
    </row>
    <row r="909" spans="1:3">
      <c r="A909">
        <v>1967675</v>
      </c>
      <c r="B909" t="s">
        <v>16</v>
      </c>
      <c r="C909" s="5">
        <v>2.876276994e-11</v>
      </c>
    </row>
    <row r="910" spans="1:3">
      <c r="A910">
        <v>1967676</v>
      </c>
      <c r="B910" t="s">
        <v>13</v>
      </c>
      <c r="C910" s="5">
        <v>1.62620399350998e-5</v>
      </c>
    </row>
    <row r="911" spans="1:3">
      <c r="A911">
        <v>1967677</v>
      </c>
      <c r="B911" t="s">
        <v>15</v>
      </c>
      <c r="C911" s="5">
        <v>1.62602045747917e-5</v>
      </c>
    </row>
    <row r="912" spans="1:3">
      <c r="A912">
        <v>1967678</v>
      </c>
      <c r="B912" t="s">
        <v>17</v>
      </c>
      <c r="C912" s="5">
        <v>1.3858642578125</v>
      </c>
    </row>
    <row r="913" spans="1:3">
      <c r="A913">
        <v>1967679</v>
      </c>
      <c r="B913" t="s">
        <v>18</v>
      </c>
      <c r="C913" s="5">
        <v>0</v>
      </c>
    </row>
    <row r="914" spans="1:3">
      <c r="A914">
        <v>1967680</v>
      </c>
      <c r="B914" t="s">
        <v>19</v>
      </c>
      <c r="C914" s="5">
        <v>1.3858642578125</v>
      </c>
    </row>
    <row r="915" spans="1:3">
      <c r="A915">
        <v>1967925</v>
      </c>
      <c r="B915" t="s">
        <v>16</v>
      </c>
      <c r="C915" s="5">
        <v>7.770495358e-11</v>
      </c>
    </row>
    <row r="916" spans="1:3">
      <c r="A916">
        <v>1967926</v>
      </c>
      <c r="B916" t="s">
        <v>13</v>
      </c>
      <c r="C916" s="5">
        <v>1.62624583026627e-5</v>
      </c>
    </row>
    <row r="917" spans="1:3">
      <c r="A917">
        <v>1967927</v>
      </c>
      <c r="B917" t="s">
        <v>15</v>
      </c>
      <c r="C917" s="5">
        <v>1.62600717885652e-5</v>
      </c>
    </row>
    <row r="918" spans="1:3">
      <c r="A918">
        <v>1967928</v>
      </c>
      <c r="B918" t="s">
        <v>17</v>
      </c>
      <c r="C918" s="5">
        <v>3.74427795410156</v>
      </c>
    </row>
    <row r="919" spans="1:3">
      <c r="A919">
        <v>1967929</v>
      </c>
      <c r="B919" t="s">
        <v>18</v>
      </c>
      <c r="C919" s="5">
        <v>0</v>
      </c>
    </row>
    <row r="920" spans="1:3">
      <c r="A920">
        <v>1967930</v>
      </c>
      <c r="B920" t="s">
        <v>19</v>
      </c>
      <c r="C920" s="5">
        <v>3.74427795410156</v>
      </c>
    </row>
    <row r="921" spans="1:3">
      <c r="A921">
        <v>1968175</v>
      </c>
      <c r="B921" t="s">
        <v>16</v>
      </c>
      <c r="C921" s="5">
        <v>4.03588274e-12</v>
      </c>
    </row>
    <row r="922" spans="1:3">
      <c r="A922">
        <v>1968176</v>
      </c>
      <c r="B922" t="s">
        <v>13</v>
      </c>
      <c r="C922" s="5">
        <v>1.62612886924762e-5</v>
      </c>
    </row>
    <row r="923" spans="1:3">
      <c r="A923">
        <v>1968177</v>
      </c>
      <c r="B923" t="s">
        <v>15</v>
      </c>
      <c r="C923" s="5">
        <v>1.62605447258101e-5</v>
      </c>
    </row>
    <row r="924" spans="1:3">
      <c r="A924">
        <v>1968178</v>
      </c>
      <c r="B924" t="s">
        <v>17</v>
      </c>
      <c r="C924" s="5">
        <v>0.194412231445312</v>
      </c>
    </row>
    <row r="925" spans="1:3">
      <c r="A925">
        <v>1968179</v>
      </c>
      <c r="B925" t="s">
        <v>18</v>
      </c>
      <c r="C925" s="5">
        <v>0</v>
      </c>
    </row>
    <row r="926" spans="1:3">
      <c r="A926">
        <v>1968180</v>
      </c>
      <c r="B926" t="s">
        <v>19</v>
      </c>
      <c r="C926" s="5">
        <v>0.194412231445312</v>
      </c>
    </row>
    <row r="927" spans="1:3">
      <c r="A927">
        <v>1968425</v>
      </c>
      <c r="B927" t="s">
        <v>16</v>
      </c>
      <c r="C927" s="5">
        <v>1.068656275e-11</v>
      </c>
    </row>
    <row r="928" spans="1:3">
      <c r="A928">
        <v>1968426</v>
      </c>
      <c r="B928" t="s">
        <v>13</v>
      </c>
      <c r="C928" s="5">
        <v>1.62616997840814e-5</v>
      </c>
    </row>
    <row r="929" spans="1:3">
      <c r="A929">
        <v>1968427</v>
      </c>
      <c r="B929" t="s">
        <v>15</v>
      </c>
      <c r="C929" s="5">
        <v>1.62629057740559e-5</v>
      </c>
    </row>
    <row r="930" spans="1:3">
      <c r="A930">
        <v>1968428</v>
      </c>
      <c r="B930" t="s">
        <v>17</v>
      </c>
      <c r="C930" s="5">
        <v>0.51483154296875</v>
      </c>
    </row>
    <row r="931" spans="1:3">
      <c r="A931">
        <v>1968429</v>
      </c>
      <c r="B931" t="s">
        <v>18</v>
      </c>
      <c r="C931" s="5">
        <v>0</v>
      </c>
    </row>
    <row r="932" spans="1:3">
      <c r="A932">
        <v>1968430</v>
      </c>
      <c r="B932" t="s">
        <v>19</v>
      </c>
      <c r="C932" s="5">
        <v>0.51483154296875</v>
      </c>
    </row>
    <row r="933" spans="1:3">
      <c r="A933">
        <v>1968675</v>
      </c>
      <c r="B933" t="s">
        <v>16</v>
      </c>
      <c r="C933" s="5">
        <v>1.284661266e-11</v>
      </c>
    </row>
    <row r="934" spans="1:3">
      <c r="A934">
        <v>1968676</v>
      </c>
      <c r="B934" t="s">
        <v>13</v>
      </c>
      <c r="C934" s="5">
        <v>1.62593914865283e-5</v>
      </c>
    </row>
    <row r="935" spans="1:3">
      <c r="A935">
        <v>1968677</v>
      </c>
      <c r="B935" t="s">
        <v>15</v>
      </c>
      <c r="C935" s="5">
        <v>1.6264564692392e-5</v>
      </c>
    </row>
    <row r="936" spans="1:3">
      <c r="A936">
        <v>1968678</v>
      </c>
      <c r="B936" t="s">
        <v>17</v>
      </c>
      <c r="C936" s="5">
        <v>0.618850708007812</v>
      </c>
    </row>
    <row r="937" spans="1:3">
      <c r="A937">
        <v>1968679</v>
      </c>
      <c r="B937" t="s">
        <v>18</v>
      </c>
      <c r="C937" s="5">
        <v>0</v>
      </c>
    </row>
    <row r="938" spans="1:3">
      <c r="A938">
        <v>1968680</v>
      </c>
      <c r="B938" t="s">
        <v>19</v>
      </c>
      <c r="C938" s="5">
        <v>0.618850708007812</v>
      </c>
    </row>
    <row r="939" spans="1:3">
      <c r="A939">
        <v>1968925</v>
      </c>
      <c r="B939" t="s">
        <v>16</v>
      </c>
      <c r="C939">
        <v>-1.381295078e-11</v>
      </c>
    </row>
    <row r="940" spans="1:3">
      <c r="A940">
        <v>1968926</v>
      </c>
      <c r="B940" t="s">
        <v>13</v>
      </c>
      <c r="C940" s="5">
        <v>1.62621381605276e-5</v>
      </c>
    </row>
    <row r="941" spans="1:3">
      <c r="A941">
        <v>1968927</v>
      </c>
      <c r="B941" t="s">
        <v>15</v>
      </c>
      <c r="C941" s="5">
        <v>1.62588039529509e-5</v>
      </c>
    </row>
    <row r="942" spans="1:3">
      <c r="A942">
        <v>1968928</v>
      </c>
      <c r="B942" t="s">
        <v>17</v>
      </c>
      <c r="C942">
        <v>-0.66552734375</v>
      </c>
    </row>
    <row r="943" spans="1:3">
      <c r="A943">
        <v>1968929</v>
      </c>
      <c r="B943" t="s">
        <v>18</v>
      </c>
      <c r="C943" s="5">
        <v>0</v>
      </c>
    </row>
    <row r="944" spans="1:3">
      <c r="A944">
        <v>1968930</v>
      </c>
      <c r="B944" t="s">
        <v>19</v>
      </c>
      <c r="C944">
        <v>-0.66552734375</v>
      </c>
    </row>
    <row r="945" spans="1:3">
      <c r="A945">
        <v>1969175</v>
      </c>
      <c r="B945" t="s">
        <v>16</v>
      </c>
      <c r="C945" s="5">
        <v>3.12638804e-12</v>
      </c>
    </row>
    <row r="946" spans="1:3">
      <c r="A946">
        <v>1969176</v>
      </c>
      <c r="B946" t="s">
        <v>13</v>
      </c>
      <c r="C946" s="5">
        <v>1.62605447258101e-5</v>
      </c>
    </row>
    <row r="947" spans="1:3">
      <c r="A947">
        <v>1969177</v>
      </c>
      <c r="B947" t="s">
        <v>15</v>
      </c>
      <c r="C947" s="5">
        <v>1.62597207236103e-5</v>
      </c>
    </row>
    <row r="948" spans="1:3">
      <c r="A948">
        <v>1969178</v>
      </c>
      <c r="B948" t="s">
        <v>17</v>
      </c>
      <c r="C948" s="5">
        <v>0.150482177734375</v>
      </c>
    </row>
    <row r="949" spans="1:3">
      <c r="A949">
        <v>1969179</v>
      </c>
      <c r="B949" t="s">
        <v>18</v>
      </c>
      <c r="C949" s="5">
        <v>0</v>
      </c>
    </row>
    <row r="950" spans="1:3">
      <c r="A950">
        <v>1969180</v>
      </c>
      <c r="B950" t="s">
        <v>19</v>
      </c>
      <c r="C950" s="5">
        <v>0.150482177734375</v>
      </c>
    </row>
    <row r="951" spans="1:3">
      <c r="A951">
        <v>1969425</v>
      </c>
      <c r="B951" t="s">
        <v>16</v>
      </c>
      <c r="C951">
        <v>-3.41060513e-12</v>
      </c>
    </row>
    <row r="952" spans="1:3">
      <c r="A952">
        <v>1969426</v>
      </c>
      <c r="B952" t="s">
        <v>13</v>
      </c>
      <c r="C952" s="5">
        <v>1.62616997840814e-5</v>
      </c>
    </row>
    <row r="953" spans="1:3">
      <c r="A953">
        <v>1969427</v>
      </c>
      <c r="B953" t="s">
        <v>15</v>
      </c>
      <c r="C953" s="5">
        <v>1.62600717885652e-5</v>
      </c>
    </row>
    <row r="954" spans="1:3">
      <c r="A954">
        <v>1969428</v>
      </c>
      <c r="B954" t="s">
        <v>17</v>
      </c>
      <c r="C954">
        <v>-0.164291381835937</v>
      </c>
    </row>
    <row r="955" spans="1:3">
      <c r="A955">
        <v>1969429</v>
      </c>
      <c r="B955" t="s">
        <v>18</v>
      </c>
      <c r="C955" s="5">
        <v>0</v>
      </c>
    </row>
    <row r="956" spans="1:3">
      <c r="A956">
        <v>1969430</v>
      </c>
      <c r="B956" t="s">
        <v>19</v>
      </c>
      <c r="C956">
        <v>-0.164291381835937</v>
      </c>
    </row>
    <row r="957" spans="1:3">
      <c r="A957">
        <v>1969675</v>
      </c>
      <c r="B957" t="s">
        <v>16</v>
      </c>
      <c r="C957" s="5">
        <v>5.22959454e-12</v>
      </c>
    </row>
    <row r="958" spans="1:3">
      <c r="A958">
        <v>1969676</v>
      </c>
      <c r="B958" t="s">
        <v>13</v>
      </c>
      <c r="C958" s="5">
        <v>1.62616997840814e-5</v>
      </c>
    </row>
    <row r="959" spans="1:3">
      <c r="A959">
        <v>1969677</v>
      </c>
      <c r="B959" t="s">
        <v>15</v>
      </c>
      <c r="C959" s="5">
        <v>1.62629057740559e-5</v>
      </c>
    </row>
    <row r="960" spans="1:3">
      <c r="A960">
        <v>1969678</v>
      </c>
      <c r="B960" t="s">
        <v>17</v>
      </c>
      <c r="C960" s="5">
        <v>0.25177001953125</v>
      </c>
    </row>
    <row r="961" spans="1:3">
      <c r="A961">
        <v>1969679</v>
      </c>
      <c r="B961" t="s">
        <v>18</v>
      </c>
      <c r="C961" s="5">
        <v>0</v>
      </c>
    </row>
    <row r="962" spans="1:3">
      <c r="A962">
        <v>1969680</v>
      </c>
      <c r="B962" t="s">
        <v>19</v>
      </c>
      <c r="C962" s="5">
        <v>0.25177001953125</v>
      </c>
    </row>
    <row r="963" spans="1:3">
      <c r="A963">
        <v>1969925</v>
      </c>
      <c r="B963" t="s">
        <v>16</v>
      </c>
      <c r="C963" s="5">
        <v>2.262368071e-11</v>
      </c>
    </row>
    <row r="964" spans="1:3">
      <c r="A964">
        <v>1969926</v>
      </c>
      <c r="B964" t="s">
        <v>13</v>
      </c>
      <c r="C964" s="5">
        <v>1.62608994287438e-5</v>
      </c>
    </row>
    <row r="965" spans="1:3">
      <c r="A965">
        <v>1969927</v>
      </c>
      <c r="B965" t="s">
        <v>15</v>
      </c>
      <c r="C965" s="5">
        <v>1.62605447258101e-5</v>
      </c>
    </row>
    <row r="966" spans="1:3">
      <c r="A966">
        <v>1969928</v>
      </c>
      <c r="B966" t="s">
        <v>17</v>
      </c>
      <c r="C966" s="5">
        <v>1.09014892578125</v>
      </c>
    </row>
    <row r="967" spans="1:3">
      <c r="A967">
        <v>1969929</v>
      </c>
      <c r="B967" t="s">
        <v>18</v>
      </c>
      <c r="C967" s="5">
        <v>0</v>
      </c>
    </row>
    <row r="968" spans="1:3">
      <c r="A968">
        <v>1969930</v>
      </c>
      <c r="B968" t="s">
        <v>19</v>
      </c>
      <c r="C968" s="5">
        <v>1.09014892578125</v>
      </c>
    </row>
    <row r="969" spans="1:3">
      <c r="A969">
        <v>1970175</v>
      </c>
      <c r="B969" t="s">
        <v>16</v>
      </c>
      <c r="C969">
        <v>-3.416289474e-11</v>
      </c>
    </row>
    <row r="970" spans="1:3">
      <c r="A970">
        <v>1970176</v>
      </c>
      <c r="B970" t="s">
        <v>13</v>
      </c>
      <c r="C970" s="5">
        <v>1.62608994287438e-5</v>
      </c>
    </row>
    <row r="971" spans="1:3">
      <c r="A971">
        <v>1970177</v>
      </c>
      <c r="B971" t="s">
        <v>15</v>
      </c>
      <c r="C971" s="5">
        <v>1.62621381605276e-5</v>
      </c>
    </row>
    <row r="972" spans="1:3">
      <c r="A972">
        <v>1970178</v>
      </c>
      <c r="B972" t="s">
        <v>17</v>
      </c>
      <c r="C972">
        <v>-1.64602661132812</v>
      </c>
    </row>
    <row r="973" spans="1:3">
      <c r="A973">
        <v>1970179</v>
      </c>
      <c r="B973" t="s">
        <v>18</v>
      </c>
      <c r="C973" s="5">
        <v>0</v>
      </c>
    </row>
    <row r="974" spans="1:3">
      <c r="A974">
        <v>1970180</v>
      </c>
      <c r="B974" t="s">
        <v>19</v>
      </c>
      <c r="C974">
        <v>-1.64602661132812</v>
      </c>
    </row>
    <row r="975" spans="1:3">
      <c r="A975">
        <v>1970424</v>
      </c>
      <c r="B975" t="s">
        <v>16</v>
      </c>
      <c r="C975" s="5">
        <v>2.921751729e-11</v>
      </c>
    </row>
    <row r="976" spans="1:3">
      <c r="A976">
        <v>1970425</v>
      </c>
      <c r="B976" t="s">
        <v>13</v>
      </c>
      <c r="C976" s="5">
        <v>1.62605447258101e-5</v>
      </c>
    </row>
    <row r="977" spans="1:3">
      <c r="A977">
        <v>1970427</v>
      </c>
      <c r="B977" t="s">
        <v>15</v>
      </c>
      <c r="C977" s="5">
        <v>1.62624583026627e-5</v>
      </c>
    </row>
    <row r="978" spans="1:3">
      <c r="A978">
        <v>1970428</v>
      </c>
      <c r="B978" t="s">
        <v>17</v>
      </c>
      <c r="C978" s="5">
        <v>1.4078369140625</v>
      </c>
    </row>
    <row r="979" spans="1:3">
      <c r="A979">
        <v>1970429</v>
      </c>
      <c r="B979" t="s">
        <v>18</v>
      </c>
      <c r="C979" s="5">
        <v>0</v>
      </c>
    </row>
    <row r="980" spans="1:3">
      <c r="A980">
        <v>1970430</v>
      </c>
      <c r="B980" t="s">
        <v>19</v>
      </c>
      <c r="C980" s="5">
        <v>1.4078369140625</v>
      </c>
    </row>
    <row r="981" spans="1:3">
      <c r="A981">
        <v>1970675</v>
      </c>
      <c r="B981" t="s">
        <v>16</v>
      </c>
      <c r="C981" s="5">
        <v>4.553157851e-11</v>
      </c>
    </row>
    <row r="982" spans="1:3">
      <c r="A982">
        <v>1970676</v>
      </c>
      <c r="B982" t="s">
        <v>13</v>
      </c>
      <c r="C982" s="5">
        <v>1.62584874487947e-5</v>
      </c>
    </row>
    <row r="983" spans="1:3">
      <c r="A983">
        <v>1970677</v>
      </c>
      <c r="B983" t="s">
        <v>15</v>
      </c>
      <c r="C983" s="5">
        <v>1.62569613166851e-5</v>
      </c>
    </row>
    <row r="984" spans="1:3">
      <c r="A984">
        <v>1970678</v>
      </c>
      <c r="B984" t="s">
        <v>17</v>
      </c>
      <c r="C984" s="5">
        <v>2.19488525390625</v>
      </c>
    </row>
    <row r="985" spans="1:3">
      <c r="A985">
        <v>1970679</v>
      </c>
      <c r="B985" t="s">
        <v>18</v>
      </c>
      <c r="C985" s="5">
        <v>0</v>
      </c>
    </row>
    <row r="986" spans="1:3">
      <c r="A986">
        <v>1970680</v>
      </c>
      <c r="B986" t="s">
        <v>19</v>
      </c>
      <c r="C986" s="5">
        <v>2.19488525390625</v>
      </c>
    </row>
    <row r="987" spans="1:3">
      <c r="A987">
        <v>1970925</v>
      </c>
      <c r="B987" t="s">
        <v>16</v>
      </c>
      <c r="C987" s="5">
        <v>2.830802259e-11</v>
      </c>
    </row>
    <row r="988" spans="1:3">
      <c r="A988">
        <v>1970926</v>
      </c>
      <c r="B988" t="s">
        <v>13</v>
      </c>
      <c r="C988" s="5">
        <v>1.62598880706355e-5</v>
      </c>
    </row>
    <row r="989" spans="1:3">
      <c r="A989">
        <v>1970927</v>
      </c>
      <c r="B989" t="s">
        <v>15</v>
      </c>
      <c r="C989" s="5">
        <v>1.62590858963085e-5</v>
      </c>
    </row>
    <row r="990" spans="1:3">
      <c r="A990">
        <v>1970928</v>
      </c>
      <c r="B990" t="s">
        <v>17</v>
      </c>
      <c r="C990" s="5">
        <v>1.36428833007812</v>
      </c>
    </row>
    <row r="991" spans="1:3">
      <c r="A991">
        <v>1970929</v>
      </c>
      <c r="B991" t="s">
        <v>18</v>
      </c>
      <c r="C991" s="5">
        <v>0</v>
      </c>
    </row>
    <row r="992" spans="1:3">
      <c r="A992">
        <v>1970930</v>
      </c>
      <c r="B992" t="s">
        <v>19</v>
      </c>
      <c r="C992" s="5">
        <v>1.36428833007812</v>
      </c>
    </row>
    <row r="993" spans="1:3">
      <c r="A993">
        <v>1971175</v>
      </c>
      <c r="B993" t="s">
        <v>16</v>
      </c>
      <c r="C993" s="5">
        <v>4.342837201e-11</v>
      </c>
    </row>
    <row r="994" spans="1:3">
      <c r="A994">
        <v>1971176</v>
      </c>
      <c r="B994" t="s">
        <v>13</v>
      </c>
      <c r="C994" s="5">
        <v>1.62631422426784e-5</v>
      </c>
    </row>
    <row r="995" spans="1:3">
      <c r="A995">
        <v>1971177</v>
      </c>
      <c r="B995" t="s">
        <v>15</v>
      </c>
      <c r="C995" s="5">
        <v>1.62612886924762e-5</v>
      </c>
    </row>
    <row r="996" spans="1:3">
      <c r="A996">
        <v>1971178</v>
      </c>
      <c r="B996" t="s">
        <v>17</v>
      </c>
      <c r="C996" s="5">
        <v>2.09242248535156</v>
      </c>
    </row>
    <row r="997" spans="1:3">
      <c r="A997">
        <v>1971179</v>
      </c>
      <c r="B997" t="s">
        <v>18</v>
      </c>
      <c r="C997" s="5">
        <v>0</v>
      </c>
    </row>
    <row r="998" spans="1:3">
      <c r="A998">
        <v>1971180</v>
      </c>
      <c r="B998" t="s">
        <v>19</v>
      </c>
      <c r="C998" s="5">
        <v>2.09242248535156</v>
      </c>
    </row>
    <row r="999" spans="1:3">
      <c r="A999">
        <v>1971425</v>
      </c>
      <c r="B999" t="s">
        <v>16</v>
      </c>
      <c r="C999" s="5">
        <v>2.432898327e-11</v>
      </c>
    </row>
    <row r="1000" spans="1:3">
      <c r="A1000">
        <v>1971426</v>
      </c>
      <c r="B1000" t="s">
        <v>13</v>
      </c>
      <c r="C1000" s="5">
        <v>1.62629057740559e-5</v>
      </c>
    </row>
    <row r="1001" spans="1:3">
      <c r="A1001">
        <v>1971427</v>
      </c>
      <c r="B1001" t="s">
        <v>15</v>
      </c>
      <c r="C1001" s="5">
        <v>1.62593914865283e-5</v>
      </c>
    </row>
    <row r="1002" spans="1:3">
      <c r="A1002">
        <v>1971428</v>
      </c>
      <c r="B1002" t="s">
        <v>17</v>
      </c>
      <c r="C1002" s="5">
        <v>1.17219543457031</v>
      </c>
    </row>
    <row r="1003" spans="1:3">
      <c r="A1003">
        <v>1971429</v>
      </c>
      <c r="B1003" t="s">
        <v>18</v>
      </c>
      <c r="C1003" s="5">
        <v>0</v>
      </c>
    </row>
    <row r="1004" spans="1:3">
      <c r="A1004">
        <v>1971430</v>
      </c>
      <c r="B1004" t="s">
        <v>19</v>
      </c>
      <c r="C1004" s="5">
        <v>1.17219543457031</v>
      </c>
    </row>
  </sheetData>
  <mergeCells count="1">
    <mergeCell ref="D4:D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waveforms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潘园</cp:lastModifiedBy>
  <dcterms:created xsi:type="dcterms:W3CDTF">2025-07-13T07:08:24Z</dcterms:created>
  <dcterms:modified xsi:type="dcterms:W3CDTF">2025-07-13T08:48:08Z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ACB9A31334D1442FAB6F67E0F6BF7068_13</vt:lpwstr>
  </property>
  <property fmtid="{D5CDD505-2E9C-101B-9397-08002B2CF9AE}" pid="3" name="KSOProductBuildVer">
    <vt:lpwstr>2052-12.1.0.21915</vt:lpwstr>
  </property>
</Properties>
</file>